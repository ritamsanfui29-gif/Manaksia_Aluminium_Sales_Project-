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VY CLASS\Projects\EXCEL\"/>
    </mc:Choice>
  </mc:AlternateContent>
  <xr:revisionPtr revIDLastSave="0" documentId="13_ncr:1_{C030653E-C155-4240-A688-44BD74FF6E73}" xr6:coauthVersionLast="47" xr6:coauthVersionMax="47" xr10:uidLastSave="{00000000-0000-0000-0000-000000000000}"/>
  <bookViews>
    <workbookView xWindow="-108" yWindow="-108" windowWidth="23256" windowHeight="13896" xr2:uid="{00000000-000D-0000-FFFF-FFFF00000000}"/>
  </bookViews>
  <sheets>
    <sheet name="Dashboard" sheetId="7" r:id="rId1"/>
    <sheet name="Customer DB" sheetId="17" r:id="rId2"/>
    <sheet name="Product DB" sheetId="15" r:id="rId3"/>
    <sheet name="APS'S" sheetId="12" r:id="rId4"/>
    <sheet name="Customer API'S" sheetId="14" r:id="rId5"/>
    <sheet name="Product APS'S" sheetId="13" r:id="rId6"/>
    <sheet name="Raw_Sales_Data" sheetId="1" r:id="rId7"/>
    <sheet name="Production_Data" sheetId="3" r:id="rId8"/>
    <sheet name="Customer_Data" sheetId="5" r:id="rId9"/>
  </sheets>
  <definedNames>
    <definedName name="_xlnm._FilterDatabase" localSheetId="7" hidden="1">Production_Data!$A$1:$G$49</definedName>
    <definedName name="_xlnm._FilterDatabase" localSheetId="6" hidden="1">Raw_Sales_Data!$A$1:$L$301</definedName>
    <definedName name="Slicer_Month">#N/A</definedName>
    <definedName name="Slicer_Months__Date">#N/A</definedName>
    <definedName name="Slicer_Product_Category">#N/A</definedName>
    <definedName name="Slicer_Quarters__Date">#N/A</definedName>
    <definedName name="Slicer_Region">#N/A</definedName>
    <definedName name="Slicer_Years__Date">#N/A</definedName>
  </definedNames>
  <calcPr calcId="191029"/>
  <pivotCaches>
    <pivotCache cacheId="8" r:id="rId10"/>
    <pivotCache cacheId="14" r:id="rId11"/>
    <pivotCache cacheId="2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<sst xmlns="http://schemas.openxmlformats.org/spreadsheetml/2006/main" count="2176" uniqueCount="481">
  <si>
    <t>Order_ID</t>
  </si>
  <si>
    <t>Date</t>
  </si>
  <si>
    <t>Region</t>
  </si>
  <si>
    <t>Product_Category</t>
  </si>
  <si>
    <t>Product_Name</t>
  </si>
  <si>
    <t>Customer_Type</t>
  </si>
  <si>
    <t>Quantity</t>
  </si>
  <si>
    <t>Unit_Price</t>
  </si>
  <si>
    <t>Sales_Amount</t>
  </si>
  <si>
    <t>Cost</t>
  </si>
  <si>
    <t>Profit</t>
  </si>
  <si>
    <t>ORD0001</t>
  </si>
  <si>
    <t>West</t>
  </si>
  <si>
    <t>Aluminium Sheets &amp; Coils</t>
  </si>
  <si>
    <t>Closure Coil</t>
  </si>
  <si>
    <t>Industrial Buyer</t>
  </si>
  <si>
    <t>ORD0002</t>
  </si>
  <si>
    <t>North</t>
  </si>
  <si>
    <t>Industrial Sheet</t>
  </si>
  <si>
    <t>ORD0003</t>
  </si>
  <si>
    <t>Plain Coil</t>
  </si>
  <si>
    <t>ORD0004</t>
  </si>
  <si>
    <t>Retailer</t>
  </si>
  <si>
    <t>ORD0005</t>
  </si>
  <si>
    <t>South</t>
  </si>
  <si>
    <t>Roofing Sheets</t>
  </si>
  <si>
    <t>Trapezoidal Roofing</t>
  </si>
  <si>
    <t>ORD0006</t>
  </si>
  <si>
    <t>Colour Coated Coils</t>
  </si>
  <si>
    <t>Red Coated Coil</t>
  </si>
  <si>
    <t>ORD0007</t>
  </si>
  <si>
    <t>East</t>
  </si>
  <si>
    <t>Distributor</t>
  </si>
  <si>
    <t>ORD0008</t>
  </si>
  <si>
    <t>ORD0009</t>
  </si>
  <si>
    <t>ORD0010</t>
  </si>
  <si>
    <t>ORD0011</t>
  </si>
  <si>
    <t>Blue Coated Coil</t>
  </si>
  <si>
    <t>ORD0012</t>
  </si>
  <si>
    <t>ORD0013</t>
  </si>
  <si>
    <t>Flooring Sheets</t>
  </si>
  <si>
    <t>Diamond Pattern</t>
  </si>
  <si>
    <t>ORD0014</t>
  </si>
  <si>
    <t>ORD0015</t>
  </si>
  <si>
    <t>ORD0016</t>
  </si>
  <si>
    <t>ORD0017</t>
  </si>
  <si>
    <t>ORD0018</t>
  </si>
  <si>
    <t>ORD0019</t>
  </si>
  <si>
    <t>ORD0020</t>
  </si>
  <si>
    <t>ORD0021</t>
  </si>
  <si>
    <t>Sinusoidal Roofing</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</si>
  <si>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</si>
  <si>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</si>
  <si>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</si>
  <si>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</si>
  <si>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</si>
  <si>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</si>
  <si>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</si>
  <si>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</si>
  <si>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</si>
  <si>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</si>
  <si>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</si>
  <si>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</si>
  <si>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</si>
  <si>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</si>
  <si>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</si>
  <si>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</si>
  <si>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</si>
  <si>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</si>
  <si>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</si>
  <si>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</si>
  <si>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</si>
  <si>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</si>
  <si>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</si>
  <si>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</si>
  <si>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</si>
  <si>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5 Bar Flooring</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</si>
  <si>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</si>
  <si>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</si>
  <si>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</si>
  <si>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</si>
  <si>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</si>
  <si>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</si>
  <si>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</si>
  <si>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</si>
  <si>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</si>
  <si>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</si>
  <si>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</si>
  <si>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</si>
  <si>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</si>
  <si>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</si>
  <si>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</si>
  <si>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</si>
  <si>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</si>
  <si>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</si>
  <si>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</si>
  <si>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</si>
  <si>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</si>
  <si>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</si>
  <si>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</si>
  <si>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</si>
  <si>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</si>
  <si>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</si>
  <si>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</si>
  <si>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</si>
  <si>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</si>
  <si>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</si>
  <si>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</si>
  <si>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</si>
  <si>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</si>
  <si>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</si>
  <si>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</si>
  <si>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</si>
  <si>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</si>
  <si>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</si>
  <si>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</si>
  <si>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</si>
  <si>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</si>
  <si>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</si>
  <si>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</si>
  <si>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</si>
  <si>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</si>
  <si>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</si>
  <si>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</si>
  <si>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</si>
  <si>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</si>
  <si>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</si>
  <si>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</si>
  <si>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</si>
  <si>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</si>
  <si>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</si>
  <si>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</si>
  <si>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</si>
  <si>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</si>
  <si>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</si>
  <si>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</si>
  <si>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</si>
  <si>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</si>
  <si>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</si>
  <si>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</si>
  <si>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</si>
  <si>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</si>
  <si>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</si>
  <si>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</si>
  <si>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</si>
  <si>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</si>
  <si>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</si>
  <si>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</si>
  <si>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</si>
  <si>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</si>
  <si>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</si>
  <si>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</si>
  <si>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</si>
  <si>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</si>
  <si>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</si>
  <si>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</si>
  <si>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</si>
  <si>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</si>
  <si>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</si>
  <si>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</si>
  <si>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</si>
  <si>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</si>
  <si>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</si>
  <si>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</si>
  <si>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</si>
  <si>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</si>
  <si>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</si>
  <si>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</si>
  <si>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</si>
  <si>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</si>
  <si>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</si>
  <si>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</si>
  <si>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</si>
  <si>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</si>
  <si>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</si>
  <si>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</si>
  <si>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</si>
  <si>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</si>
  <si>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</si>
  <si>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</si>
  <si>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</si>
  <si>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</si>
  <si>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</si>
  <si>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</si>
  <si>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</si>
  <si>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</si>
  <si>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</si>
  <si>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</si>
  <si>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</si>
  <si>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</si>
  <si>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</si>
  <si>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</si>
  <si>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</si>
  <si>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</si>
  <si>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</si>
  <si>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</si>
  <si>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</si>
  <si>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</si>
  <si>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</si>
  <si>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</si>
  <si>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</si>
  <si>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</si>
  <si>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</si>
  <si>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</si>
  <si>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</si>
  <si>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</si>
  <si>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</si>
  <si>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</si>
  <si>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</si>
  <si>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</si>
  <si>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</si>
  <si>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</si>
  <si>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</si>
  <si>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</si>
  <si>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</si>
  <si>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</si>
  <si>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</si>
  <si>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</si>
  <si>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</si>
  <si>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</si>
  <si>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</si>
  <si>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</si>
  <si>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</si>
  <si>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</si>
  <si>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</si>
  <si>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</si>
  <si>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</si>
  <si>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</si>
  <si>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</si>
  <si>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</si>
  <si>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</si>
  <si>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</si>
  <si>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</si>
  <si>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</si>
  <si>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</si>
  <si>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</si>
  <si>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</si>
  <si>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</si>
  <si>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</si>
  <si>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</si>
  <si>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</si>
  <si>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</si>
  <si>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</si>
  <si>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</si>
  <si>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</si>
  <si>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</si>
  <si>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</si>
  <si>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</si>
  <si>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</si>
  <si>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</si>
  <si>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</si>
  <si>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</si>
  <si>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</si>
  <si>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</si>
  <si>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</si>
  <si>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</si>
  <si>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</si>
  <si>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</si>
  <si>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</si>
  <si>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</si>
  <si>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</si>
  <si>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</si>
  <si>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</si>
  <si>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</si>
  <si>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</si>
  <si>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</si>
  <si>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</si>
  <si>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</si>
  <si>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</si>
  <si>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</si>
  <si>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</si>
  <si>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</si>
  <si>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</si>
  <si>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</si>
  <si>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</si>
  <si>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</si>
  <si>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</si>
  <si>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</si>
  <si>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</si>
  <si>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</si>
  <si>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</si>
  <si>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</si>
  <si>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</si>
  <si>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</si>
  <si>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</si>
  <si>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</si>
  <si>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</si>
  <si>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</si>
  <si>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</si>
  <si>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</si>
  <si>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</si>
  <si>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</si>
  <si>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</si>
  <si>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</si>
  <si>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</si>
  <si>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</si>
  <si>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</si>
  <si>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</si>
  <si>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</si>
  <si>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</si>
  <si>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</si>
  <si>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</si>
  <si>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</si>
  <si>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</si>
  <si>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</si>
  <si>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</si>
  <si>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</si>
  <si>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</si>
  <si>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</si>
  <si>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</si>
  <si>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</si>
  <si>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</si>
  <si>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</si>
  <si>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</si>
  <si>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</si>
  <si>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</si>
  <si>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</si>
  <si>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</si>
  <si>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</si>
  <si>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</si>
  <si>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</si>
  <si>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</si>
  <si>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</si>
  <si>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</si>
  <si>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</si>
  <si>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</si>
  <si>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</si>
  <si>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</si>
  <si>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</si>
  <si>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</si>
  <si>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</si>
  <si>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Month</t>
  </si>
  <si>
    <t>Plant</t>
  </si>
  <si>
    <t>Product</t>
  </si>
  <si>
    <t>Production_Tons</t>
  </si>
  <si>
    <t>Defect_Percentage</t>
  </si>
  <si>
    <t>Downtime_Hours</t>
  </si>
  <si>
    <t>Production_Cost</t>
  </si>
  <si>
    <t>Jan</t>
  </si>
  <si>
    <t>Kolkata Plant</t>
  </si>
  <si>
    <t>Haldia Plant</t>
  </si>
  <si>
    <t>Feb</t>
  </si>
  <si>
    <t>Mar</t>
  </si>
  <si>
    <t>Apr</t>
  </si>
  <si>
    <t>May</t>
  </si>
  <si>
    <t>Jun</t>
  </si>
  <si>
    <t>Jul</t>
  </si>
  <si>
    <t>Aug</t>
  </si>
  <si>
    <t>Sep</t>
  </si>
  <si>
    <t>Oct</t>
  </si>
  <si>
    <t>Nov</t>
  </si>
  <si>
    <t>Dec</t>
  </si>
  <si>
    <t>Customer_ID</t>
  </si>
  <si>
    <t>Industry</t>
  </si>
  <si>
    <t>Total_Orders</t>
  </si>
  <si>
    <t>Total_Revenue</t>
  </si>
  <si>
    <t>Repeat_Customer</t>
  </si>
  <si>
    <t>CUST001</t>
  </si>
  <si>
    <t>Packaging</t>
  </si>
  <si>
    <t>No</t>
  </si>
  <si>
    <t>CUST002</t>
  </si>
  <si>
    <t>Construction</t>
  </si>
  <si>
    <t>Yes</t>
  </si>
  <si>
    <t>CUST003</t>
  </si>
  <si>
    <t>Transportation</t>
  </si>
  <si>
    <t>CUST004</t>
  </si>
  <si>
    <t>CUST005</t>
  </si>
  <si>
    <t>Industrial</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</si>
  <si>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</si>
  <si>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</si>
  <si>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</si>
  <si>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</si>
  <si>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</si>
  <si>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</si>
  <si>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</si>
  <si>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</si>
  <si>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</si>
  <si>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</si>
  <si>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</si>
  <si>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</si>
  <si>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</si>
  <si>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</si>
  <si>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</si>
  <si>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</si>
  <si>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</si>
  <si>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</si>
  <si>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</si>
  <si>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</si>
  <si>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</si>
  <si>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</si>
  <si>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</si>
  <si>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</si>
  <si>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</si>
  <si>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</si>
  <si>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</si>
  <si>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</si>
  <si>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</si>
  <si>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</si>
  <si>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</si>
  <si>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</si>
  <si>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</si>
  <si>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</si>
  <si>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</si>
  <si>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</si>
  <si>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</si>
  <si>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</si>
  <si>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</si>
  <si>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</si>
  <si>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</si>
  <si>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</si>
  <si>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</si>
  <si>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</si>
  <si>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</si>
  <si>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</si>
  <si>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</si>
  <si>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</si>
  <si>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</si>
  <si>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</si>
  <si>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</si>
  <si>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</si>
  <si>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</si>
  <si>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</si>
  <si>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</si>
  <si>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</si>
  <si>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</si>
  <si>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</si>
  <si>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</si>
  <si>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</si>
  <si>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</si>
  <si>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</si>
  <si>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</si>
  <si>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</si>
  <si>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</si>
  <si>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</si>
  <si>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</si>
  <si>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</si>
  <si>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</si>
  <si>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</si>
  <si>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</si>
  <si>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</si>
  <si>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</si>
  <si>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</si>
  <si>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</si>
  <si>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</si>
  <si>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</si>
  <si>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</si>
  <si>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</si>
  <si>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</si>
  <si>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</si>
  <si>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</si>
  <si>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</si>
  <si>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</si>
  <si>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</si>
  <si>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</si>
  <si>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</si>
  <si>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</si>
  <si>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</si>
  <si>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</si>
  <si>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</si>
  <si>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</si>
  <si>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</si>
  <si>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</si>
  <si>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</si>
  <si>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Row Labels</t>
  </si>
  <si>
    <t>Grand Total</t>
  </si>
  <si>
    <t>Sum of Sales_Amount</t>
  </si>
  <si>
    <t>Sum of Cost</t>
  </si>
  <si>
    <t>Sum of Profit</t>
  </si>
  <si>
    <t>Sum of Quantity</t>
  </si>
  <si>
    <t>Qtr1</t>
  </si>
  <si>
    <t>Qtr2</t>
  </si>
  <si>
    <t>Qtr3</t>
  </si>
  <si>
    <t>Qtr4</t>
  </si>
  <si>
    <t>Count of Product_Category</t>
  </si>
  <si>
    <t>Sum of Production_Cost</t>
  </si>
  <si>
    <t>Sum of Defect_Percentage</t>
  </si>
  <si>
    <t>Count of Product</t>
  </si>
  <si>
    <t>Column Labels</t>
  </si>
  <si>
    <t>Count of Production_Cost</t>
  </si>
  <si>
    <t>Sum of Total_Orders</t>
  </si>
  <si>
    <t>Sum of 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</si>
</sst>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4009]\ * #,##0.00_ ;_ [$₹-4009]\ * \-#,##0.00_ ;_ [$₹-4009]\ * &quot;-&quot;??_ ;_ @_ "/>
    <numFmt numFmtId="165" formatCode="[$-14009]dd/mm/yyyy;@"/>
    <numFmt numFmtId="166" formatCode="_ [$₹-4009]\ * #,##0_ ;_ [$₹-4009]\ * \-#,##0_ ;_ [$₹-4009]\ * &quot;-&quot;??_ ;_ @_ "/>
    <numFmt numFmtId="167" formatCode="_ &quot;₹&quot;\ * #,##0_ ;_ &quot;₹&quot;\ * \-#,##0_ ;_ &quot;₹&quot;\ * &quot;-&quot;??_ ;_ @_ "/>
  </numFmts>
  <fonts count="6" x14ac:knownFonts="1">
    <font>
      <sz val="11"/>
      <color theme="1"/>
      <name val="Calibri"/>
      <family val="2"/>
      <scheme val="minor"/>
    </font>
    <font>
      <b/>
      <sz val="11"/>
      <name val="Calibri"/>
    </font>
    <font>
      <b/>
      <sz val="16"/>
      <name val="Calibri"/>
    </font>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18">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44" fontId="0" fillId="0" borderId="0" xfId="0" applyNumberFormat="1"/>
    <xf numFmtId="14" fontId="0" fillId="0" borderId="0" xfId="0" applyNumberFormat="1"/>
    <xf numFmtId="165" fontId="4" fillId="0" borderId="0" xfId="0" applyNumberFormat="1" applyFont="1"/>
    <xf numFmtId="0" fontId="4" fillId="0" borderId="0" xfId="0" applyFont="1"/>
    <xf numFmtId="0" fontId="5" fillId="2" borderId="1" xfId="0" applyFont="1" applyFill="1" applyBorder="1"/>
    <xf numFmtId="166" fontId="0" fillId="0" borderId="0" xfId="0" applyNumberFormat="1"/>
    <xf numFmtId="14" fontId="0" fillId="0" borderId="0" xfId="0" applyNumberFormat="1" applyAlignment="1">
      <alignment horizontal="left"/>
    </xf>
    <xf numFmtId="10" fontId="0" fillId="0" borderId="0" xfId="0" applyNumberFormat="1"/>
    <xf numFmtId="167" fontId="0" fillId="0" borderId="0" xfId="0" applyNumberFormat="1"/>
    <xf numFmtId="2" fontId="0" fillId="0" borderId="0" xfId="0" applyNumberFormat="1"/>
    <xf numFmtId="0" fontId="0" fillId="0" borderId="0" xfId="0" applyNumberFormat="1"/>
  </cellXfs>
  <cellStyles count="2">
    <cellStyle name="Currency" xfId="1" builtinId="4"/>
    <cellStyle name="Normal" xfId="0" builtinId="0"/>
  </cellStyles>
  <dxfs count="94">
    <dxf>
      <numFmt numFmtId="167" formatCode="_ &quot;₹&quot;\ * #,##0_ ;_ &quot;₹&quot;\ * \-#,##0_ ;_ &quot;₹&quot;\ * &quot;-&quot;??_ ;_ @_ "/>
    </dxf>
    <dxf>
      <numFmt numFmtId="2" formatCode="0.00"/>
    </dxf>
    <dxf>
      <numFmt numFmtId="167" formatCode="_ &quot;₹&quot;\ * #,##0_ ;_ &quot;₹&quot;\ * \-#,##0_ ;_ &quot;₹&quot;\ * &quot;-&quot;??_ ;_ @_ "/>
    </dxf>
    <dxf>
      <numFmt numFmtId="2" formatCode="0.00"/>
    </dxf>
    <dxf>
      <numFmt numFmtId="167" formatCode="_ &quot;₹&quot;\ * #,##0_ ;_ &quot;₹&quot;\ * \-#,##0_ ;_ &quot;₹&quot;\ * &quot;-&quot;??_ ;_ @_ "/>
    </dxf>
    <dxf>
      <numFmt numFmtId="2" formatCode="0.00"/>
    </dxf>
    <dxf>
      <numFmt numFmtId="167" formatCode="_ &quot;₹&quot;\ * #,##0_ ;_ &quot;₹&quot;\ * \-#,##0_ ;_ &quot;₹&quot;\ * &quot;-&quot;??_ ;_ @_ "/>
    </dxf>
    <dxf>
      <numFmt numFmtId="2" formatCode="0.00"/>
    </dxf>
    <dxf>
      <numFmt numFmtId="167" formatCode="_ &quot;₹&quot;\ * #,##0_ ;_ &quot;₹&quot;\ * \-#,##0_ ;_ &quot;₹&quot;\ * &quot;-&quot;??_ ;_ @_ "/>
    </dxf>
    <dxf>
      <numFmt numFmtId="2" formatCode="0.00"/>
    </dxf>
    <dxf>
      <numFmt numFmtId="167" formatCode="_ &quot;₹&quot;\ * #,##0_ ;_ &quot;₹&quot;\ * \-#,##0_ ;_ &quot;₹&quot;\ * &quot;-&quot;??_ ;_ @_ "/>
    </dxf>
    <dxf>
      <numFmt numFmtId="2" formatCode="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6" formatCode="_ [$₹-4009]\ * #,##0_ ;_ [$₹-4009]\ * \-#,##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
      <numFmt numFmtId="167" formatCode="_ &quot;₹&quot;\ * #,##0_ ;_ &quot;₹&quot;\ * \-#,##0_ ;_ &quot;₹&quot;\ * &quot;-&quot;??_ ;_ @_ "/>
    </dxf>
    <dxf>
      <numFmt numFmtId="2" formatCode="0.00"/>
    </dxf>
    <dxf>
      <numFmt numFmtId="167" formatCode="_ &quot;₹&quot;\ * #,##0_ ;_ &quot;₹&quot;\ * \-#,##0_ ;_ &quot;₹&quot;\ * &quot;-&quot;??_ ;_ @_ "/>
    </dxf>
    <dxf>
      <numFmt numFmtId="167" formatCode="_ &quot;₹&quot;\ * #,##0_ ;_ &quot;₹&quot;\ * \-#,##0_ ;_ &quot;₹&quot;\ * &quot;-&quot;??_ ;_ @_ "/>
    </dxf>
    <dxf>
      <numFmt numFmtId="169" formatCode="_ [$₹-4009]\ * #,##0.0_ ;_ [$₹-4009]\ * \-#,##0.0_ ;_ [$₹-4009]\ * &quot;-&quot;??_ ;_ @_ "/>
    </dxf>
    <dxf>
      <numFmt numFmtId="166" formatCode="_ [$₹-4009]\ * #,##0_ ;_ [$₹-4009]\ * \-#,##0_ ;_ [$₹-4009]\ * &quot;-&quot;??_ ;_ @_ "/>
    </dxf>
    <dxf>
      <numFmt numFmtId="167" formatCode="_ &quot;₹&quot;\ * #,##0_ ;_ &quot;₹&quot;\ * \-#,##0_ ;_ &quot;₹&quot;\ * &quot;-&quot;??_ ;_ @_ "/>
    </dxf>
    <dxf>
      <numFmt numFmtId="167" formatCode="_ &quot;₹&quot;\ * #,##0_ ;_ &quot;₹&quot;\ * \-#,##0_ ;_ &quot;₹&quot;\ * &quot;-&quot;??_ ;_ @_ "/>
    </dxf>
    <dxf>
      <numFmt numFmtId="169" formatCode="_ [$₹-4009]\ * #,##0.0_ ;_ [$₹-4009]\ * \-#,##0.0_ ;_ [$₹-4009]\ * &quot;-&quot;??_ ;_ @_ "/>
    </dxf>
    <dxf>
      <numFmt numFmtId="167" formatCode="_ &quot;₹&quot;\ * #,##0_ ;_ &quot;₹&quot;\ * \-#,##0_ ;_ &quot;₹&quot;\ * &quot;-&quot;??_ ;_ @_ "/>
    </dxf>
    <dxf>
      <numFmt numFmtId="167" formatCode="_ &quot;₹&quot;\ * #,##0_ ;_ &quot;₹&quot;\ * \-#,##0_ ;_ &quot;₹&quot;\ * &quot;-&quot;??_ ;_ @_ "/>
    </dxf>
    <dxf>
      <numFmt numFmtId="168"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8" formatCode="_ &quot;₹&quot;\ * #,##0.0_ ;_ &quot;₹&quot;\ * \-#,##0.0_ ;_ &quot;₹&quot;\ * &quot;-&quot;??_ ;_ @_ "/>
    </dxf>
    <dxf>
      <numFmt numFmtId="167" formatCode="_ &quot;₹&quot;\ * #,##0_ ;_ &quot;₹&quot;\ * \-#,##0_ ;_ &quot;₹&quot;\ * &quot;-&quot;??_ ;_ @_ "/>
    </dxf>
    <dxf>
      <numFmt numFmtId="168" formatCode="_ &quot;₹&quot;\ * #,##0.0_ ;_ &quot;₹&quot;\ * \-#,##0.0_ ;_ &quot;₹&quot;\ * &quot;-&quot;??_ ;_ @_ "/>
    </dxf>
    <dxf>
      <numFmt numFmtId="167" formatCode="_ &quot;₹&quot;\ * #,##0_ ;_ &quot;₹&quot;\ * \-#,##0_ ;_ &quot;₹&quot;\ * &quot;-&quot;??_ ;_ @_ "/>
    </dxf>
    <dxf>
      <numFmt numFmtId="168" formatCode="_ &quot;₹&quot;\ * #,##0.0_ ;_ &quot;₹&quot;\ * \-#,##0.0_ ;_ &quot;₹&quot;\ * &quot;-&quot;??_ ;_ @_ "/>
    </dxf>
    <dxf>
      <numFmt numFmtId="2" formatCode="0.00"/>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6" formatCode="_ [$₹-4009]\ * #,##0_ ;_ [$₹-4009]\ * \-#,##0_ ;_ [$₹-4009]\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[Manaksia_Aluminium_Project.xlsx]APS'S!PivotTable20</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194444444444448"/>
              <c:y val="0.2384259259259259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4695975503062"/>
                  <c:h val="0.22826917468649752"/>
                </c:manualLayout>
              </c15:layout>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194444444444448"/>
              <c:y val="0.2384259259259259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4695975503062"/>
                  <c:h val="0.22826917468649752"/>
                </c:manualLayout>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75000"/>
            </a:schemeClr>
          </a:solidFill>
          <a:ln w="19050">
            <a:solidFill>
              <a:schemeClr val="lt1"/>
            </a:solidFill>
          </a:ln>
          <a:effectLst/>
        </c:spPr>
        <c:dLbl>
          <c:idx val="0"/>
          <c:layout>
            <c:manualLayout>
              <c:x val="-0.15694444444444455"/>
              <c:y val="0.23842592592592587"/>
            </c:manualLayout>
          </c:layout>
          <c:spPr>
            <a:xfrm>
              <a:off x="2511298" y="678146"/>
              <a:ext cx="829679" cy="626188"/>
            </a:xfrm>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808"/>
                    <a:gd name="adj2" fmla="val -56929"/>
                  </a:avLst>
                </a:prstGeom>
                <a:noFill/>
                <a:ln>
                  <a:noFill/>
                </a:ln>
              </c15:spPr>
              <c15:layout>
                <c:manualLayout>
                  <c:w val="0.1814695975503062"/>
                  <c:h val="0.22826917468649752"/>
                </c:manualLayout>
              </c15:layout>
            </c:ext>
          </c:extLst>
        </c:dLbl>
      </c:pivotFmt>
      <c:pivotFmt>
        <c:idx val="9"/>
        <c:spPr>
          <a:solidFill>
            <a:schemeClr val="accent1"/>
          </a:solidFill>
          <a:ln w="19050">
            <a:solidFill>
              <a:schemeClr val="lt1"/>
            </a:solidFill>
          </a:ln>
          <a:effectLst/>
        </c:spPr>
        <c:dLbl>
          <c:idx val="0"/>
          <c:layout>
            <c:manualLayout>
              <c:x val="-0.12777777777777788"/>
              <c:y val="-0.22685185185185194"/>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40"/>
                    <a:gd name="adj2" fmla="val 63353"/>
                  </a:avLst>
                </a:prstGeom>
                <a:noFill/>
                <a:ln>
                  <a:noFill/>
                </a:ln>
              </c15:spPr>
            </c:ext>
          </c:extLst>
        </c:dLbl>
      </c:pivotFmt>
      <c:pivotFmt>
        <c:idx val="10"/>
        <c:spPr>
          <a:solidFill>
            <a:schemeClr val="accent1"/>
          </a:solidFill>
          <a:ln w="19050">
            <a:solidFill>
              <a:schemeClr val="lt1"/>
            </a:solidFill>
          </a:ln>
          <a:effectLst/>
        </c:spPr>
        <c:dLbl>
          <c:idx val="0"/>
          <c:layout>
            <c:manualLayout>
              <c:x val="0.17222222222222222"/>
              <c:y val="-0.17129629629629639"/>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006"/>
                    <a:gd name="adj2" fmla="val 74013"/>
                  </a:avLst>
                </a:prstGeom>
                <a:noFill/>
                <a:ln>
                  <a:noFill/>
                </a:ln>
              </c15:spPr>
            </c:ext>
          </c:extLst>
        </c:dLbl>
      </c:pivotFmt>
      <c:pivotFmt>
        <c:idx val="11"/>
        <c:spPr>
          <a:solidFill>
            <a:schemeClr val="accent1"/>
          </a:solidFill>
          <a:ln w="19050">
            <a:solidFill>
              <a:schemeClr val="lt1"/>
            </a:solidFill>
          </a:ln>
          <a:effectLst/>
        </c:spPr>
        <c:dLbl>
          <c:idx val="0"/>
          <c:layout>
            <c:manualLayout>
              <c:x val="0.15242641209228322"/>
              <c:y val="0.19907410891044763"/>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980"/>
                    <a:gd name="adj2" fmla="val -71844"/>
                  </a:avLst>
                </a:prstGeom>
                <a:noFill/>
                <a:ln>
                  <a:noFill/>
                </a:ln>
              </c15:spPr>
            </c:ext>
          </c:extLst>
        </c:dLbl>
      </c:pivotFmt>
    </c:pivotFmts>
    <c:plotArea>
      <c:layout>
        <c:manualLayout>
          <c:layoutTarget val="inner"/>
          <c:xMode val="edge"/>
          <c:yMode val="edge"/>
          <c:x val="0.24896247157649448"/>
          <c:y val="0.19261938674047993"/>
          <c:w val="0.49738121636943361"/>
          <c:h val="0.7112721148764255"/>
        </c:manualLayout>
      </c:layout>
      <c:pieChart>
        <c:varyColors val="1"/>
        <c:ser>
          <c:idx val="0"/>
          <c:order val="0"/>
          <c:tx>
            <c:strRef>
              <c:f>'APS''S'!$B$24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034-4C0E-8A1B-732782AA1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34-4C0E-8A1B-732782AA19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34-4C0E-8A1B-732782AA19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34-4C0E-8A1B-732782AA190E}"/>
              </c:ext>
            </c:extLst>
          </c:dPt>
          <c:dLbls>
            <c:dLbl>
              <c:idx val="0"/>
              <c:layout>
                <c:manualLayout>
                  <c:x val="-0.15694444444444455"/>
                  <c:y val="0.23842592592592587"/>
                </c:manualLayout>
              </c:layout>
              <c:spPr>
                <a:xfrm>
                  <a:off x="2511298" y="678146"/>
                  <a:ext cx="829679" cy="626188"/>
                </a:xfrm>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9808"/>
                        <a:gd name="adj2" fmla="val -56929"/>
                      </a:avLst>
                    </a:prstGeom>
                    <a:noFill/>
                    <a:ln>
                      <a:noFill/>
                    </a:ln>
                  </c15:spPr>
                  <c15:layout>
                    <c:manualLayout>
                      <c:w val="0.1814695975503062"/>
                      <c:h val="0.22826917468649752"/>
                    </c:manualLayout>
                  </c15:layout>
                </c:ext>
                <c:ext xmlns:c16="http://schemas.microsoft.com/office/drawing/2014/chart" uri="{C3380CC4-5D6E-409C-BE32-E72D297353CC}">
                  <c16:uniqueId val="{00000001-3034-4C0E-8A1B-732782AA190E}"/>
                </c:ext>
              </c:extLst>
            </c:dLbl>
            <c:dLbl>
              <c:idx val="1"/>
              <c:layout>
                <c:manualLayout>
                  <c:x val="-0.12777777777777788"/>
                  <c:y val="-0.22685185185185194"/>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640"/>
                        <a:gd name="adj2" fmla="val 63353"/>
                      </a:avLst>
                    </a:prstGeom>
                    <a:noFill/>
                    <a:ln>
                      <a:noFill/>
                    </a:ln>
                  </c15:spPr>
                </c:ext>
                <c:ext xmlns:c16="http://schemas.microsoft.com/office/drawing/2014/chart" uri="{C3380CC4-5D6E-409C-BE32-E72D297353CC}">
                  <c16:uniqueId val="{00000003-3034-4C0E-8A1B-732782AA190E}"/>
                </c:ext>
              </c:extLst>
            </c:dLbl>
            <c:dLbl>
              <c:idx val="2"/>
              <c:layout>
                <c:manualLayout>
                  <c:x val="0.17222222222222222"/>
                  <c:y val="-0.17129629629629639"/>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006"/>
                        <a:gd name="adj2" fmla="val 74013"/>
                      </a:avLst>
                    </a:prstGeom>
                    <a:noFill/>
                    <a:ln>
                      <a:noFill/>
                    </a:ln>
                  </c15:spPr>
                </c:ext>
                <c:ext xmlns:c16="http://schemas.microsoft.com/office/drawing/2014/chart" uri="{C3380CC4-5D6E-409C-BE32-E72D297353CC}">
                  <c16:uniqueId val="{00000005-3034-4C0E-8A1B-732782AA190E}"/>
                </c:ext>
              </c:extLst>
            </c:dLbl>
            <c:dLbl>
              <c:idx val="3"/>
              <c:layout>
                <c:manualLayout>
                  <c:x val="0.15242641209228322"/>
                  <c:y val="0.19907410891044763"/>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2980"/>
                        <a:gd name="adj2" fmla="val -71844"/>
                      </a:avLst>
                    </a:prstGeom>
                    <a:noFill/>
                    <a:ln>
                      <a:noFill/>
                    </a:ln>
                  </c15:spPr>
                </c:ext>
                <c:ext xmlns:c16="http://schemas.microsoft.com/office/drawing/2014/chart" uri="{C3380CC4-5D6E-409C-BE32-E72D297353CC}">
                  <c16:uniqueId val="{00000007-3034-4C0E-8A1B-732782AA190E}"/>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'APS''S'!$A$25:$A$29</c:f>
              <c:strCache>
                <c:ptCount val="4"/>
                <c:pt idx="0">
                  <c:v>Aluminium Sheets &amp; Coils</c:v>
                </c:pt>
                <c:pt idx="1">
                  <c:v>Colour Coated Coils</c:v>
                </c:pt>
                <c:pt idx="2">
                  <c:v>Flooring Sheets</c:v>
                </c:pt>
                <c:pt idx="3">
                  <c:v>Roofing Sheets</c:v>
                </c:pt>
              </c:strCache>
            </c:strRef>
          </c:cat>
          <c:val>
            <c:numRef>
              <c:f>'APS''S'!$B$25:$B$29</c:f>
              <c:numCache>
                <c:formatCode>General</c:formatCode>
                <c:ptCount val="4"/>
                <c:pt idx="0">
                  <c:v>79</c:v>
                </c:pt>
                <c:pt idx="1">
                  <c:v>77</c:v>
                </c:pt>
                <c:pt idx="2">
                  <c:v>76</c:v>
                </c:pt>
                <c:pt idx="3">
                  <c:v>68</c:v>
                </c:pt>
              </c:numCache>
            </c:numRef>
          </c:val>
          <c:extLst>
            <c:ext xmlns:c16="http://schemas.microsoft.com/office/drawing/2014/chart" uri="{C3380CC4-5D6E-409C-BE32-E72D297353CC}">
              <c16:uniqueId val="{00000008-3034-4C0E-8A1B-732782AA190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[Manaksia_Aluminium_Project.xlsx]APS'S!PivotTable21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29347952965339"/>
          <c:y val="0.2102980861528749"/>
          <c:w val="0.87313376032310519"/>
          <c:h val="0.59791461297441906"/>
        </c:manualLayout>
      </c:layout>
      <c:barChart>
        <c:barDir val="col"/>
        <c:grouping val="clustered"/>
        <c:varyColors val="0"/>
        <c:ser>
          <c:idx val="0"/>
          <c:order val="0"/>
          <c:tx>
            <c:strRef>
              <c:f>'APS''S'!$B$40</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'APS''S'!$A$41:$A$50</c:f>
              <c:strCache>
                <c:ptCount val="9"/>
                <c:pt idx="0">
                  <c:v>5 Bar Flooring</c:v>
                </c:pt>
                <c:pt idx="1">
                  <c:v>Blue Coated Coil</c:v>
                </c:pt>
                <c:pt idx="2">
                  <c:v>Closure Coil</c:v>
                </c:pt>
                <c:pt idx="3">
                  <c:v>Diamond Pattern</c:v>
                </c:pt>
                <c:pt idx="4">
                  <c:v>Industrial Sheet</c:v>
                </c:pt>
                <c:pt idx="5">
                  <c:v>Plain Coil</c:v>
                </c:pt>
                <c:pt idx="6">
                  <c:v>Red Coated Coil</c:v>
                </c:pt>
                <c:pt idx="7">
                  <c:v>Sinusoidal Roofing</c:v>
                </c:pt>
                <c:pt idx="8">
                  <c:v>Trapezoidal Roofing</c:v>
                </c:pt>
              </c:strCache>
            </c:strRef>
          </c:cat>
          <c:val>
            <c:numRef>
              <c:f>'APS''S'!$B$41:$B$50</c:f>
              <c:numCache>
                <c:formatCode>_ [$₹-4009]\ * #,##0.00_ ;_ [$₹-4009]\ * \-#,##0.00_ ;_ [$₹-4009]\ * "-"??_ ;_ @_ </c:formatCode>
                <c:ptCount val="9"/>
                <c:pt idx="0">
                  <c:v>8656625</c:v>
                </c:pt>
                <c:pt idx="1">
                  <c:v>10935157</c:v>
                </c:pt>
                <c:pt idx="2">
                  <c:v>7867005</c:v>
                </c:pt>
                <c:pt idx="3">
                  <c:v>9874123</c:v>
                </c:pt>
                <c:pt idx="4">
                  <c:v>7081702</c:v>
                </c:pt>
                <c:pt idx="5">
                  <c:v>5761392</c:v>
                </c:pt>
                <c:pt idx="6">
                  <c:v>8680999</c:v>
                </c:pt>
                <c:pt idx="7">
                  <c:v>6993491</c:v>
                </c:pt>
                <c:pt idx="8">
                  <c:v>9100341</c:v>
                </c:pt>
              </c:numCache>
            </c:numRef>
          </c:val>
          <c:extLst>
            <c:ext xmlns:c16="http://schemas.microsoft.com/office/drawing/2014/chart" uri="{C3380CC4-5D6E-409C-BE32-E72D297353CC}">
              <c16:uniqueId val="{00000000-BC38-4AD1-8407-EC565C0A84A0}"/>
            </c:ext>
          </c:extLst>
        </c:ser>
        <c:dLbls>
          <c:showLegendKey val="0"/>
          <c:showVal val="0"/>
          <c:showCatName val="0"/>
          <c:showSerName val="0"/>
          <c:showPercent val="0"/>
          <c:showBubbleSize val="0"/>
        </c:dLbls>
        <c:gapWidth val="113"/>
        <c:overlap val="-27"/>
        <c:axId val="188056975"/>
        <c:axId val="188060815"/>
      </c:barChart>
      <c:catAx>
        <c:axId val="18805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060815"/>
        <c:crosses val="autoZero"/>
        <c:auto val="1"/>
        <c:lblAlgn val="ctr"/>
        <c:lblOffset val="100"/>
        <c:noMultiLvlLbl val="0"/>
      </c:catAx>
      <c:valAx>
        <c:axId val="188060815"/>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05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[Manaksia_Aluminium_Project.xlsx]APS'S!PivotTable19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9.1334906403296116E-3"/>
              <c:y val="-4.9140913415961829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1248452280868"/>
          <c:y val="0.20103100942893476"/>
          <c:w val="0.87233154043631222"/>
          <c:h val="0.69533407554755877"/>
        </c:manualLayout>
      </c:layout>
      <c:barChart>
        <c:barDir val="col"/>
        <c:grouping val="clustered"/>
        <c:varyColors val="0"/>
        <c:ser>
          <c:idx val="0"/>
          <c:order val="0"/>
          <c:tx>
            <c:strRef>
              <c:f>'APS''S'!$B$7</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3"/>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38C3-4B03-A532-C5A1D8768E84}"/>
              </c:ext>
            </c:extLst>
          </c:dPt>
          <c:dLbls>
            <c:dLbl>
              <c:idx val="3"/>
              <c:layout>
                <c:manualLayout>
                  <c:x val="-9.1334906403296116E-3"/>
                  <c:y val="-4.91409134159618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C3-4B03-A532-C5A1D8768E84}"/>
                </c:ext>
              </c:extLst>
            </c:dLbl>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'APS''S'!$A$8:$A$20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'APS''S'!$B$8:$B$20</c:f>
              <c:numCache>
                <c:formatCode>_ [$₹-4009]\ * #,##0_ ;_ [$₹-4009]\ * \-#,##0_ ;_ [$₹-4009]\ * "-"??_ ;_ @_ </c:formatCode>
                <c:ptCount val="12"/>
                <c:pt idx="0">
                  <c:v>5529653</c:v>
                </c:pt>
                <c:pt idx="1">
                  <c:v>6124230</c:v>
                </c:pt>
                <c:pt idx="2">
                  <c:v>5113127</c:v>
                </c:pt>
                <c:pt idx="3">
                  <c:v>7270642</c:v>
                </c:pt>
                <c:pt idx="4">
                  <c:v>7228705</c:v>
                </c:pt>
                <c:pt idx="5">
                  <c:v>8035651</c:v>
                </c:pt>
                <c:pt idx="6">
                  <c:v>6001245</c:v>
                </c:pt>
                <c:pt idx="7">
                  <c:v>7968640</c:v>
                </c:pt>
                <c:pt idx="8">
                  <c:v>5255175</c:v>
                </c:pt>
                <c:pt idx="9">
                  <c:v>6473273</c:v>
                </c:pt>
                <c:pt idx="10">
                  <c:v>4345358</c:v>
                </c:pt>
                <c:pt idx="11">
                  <c:v>5605136</c:v>
                </c:pt>
              </c:numCache>
            </c:numRef>
          </c:val>
          <c:extLst>
            <c:ext xmlns:c16="http://schemas.microsoft.com/office/drawing/2014/chart" uri="{C3380CC4-5D6E-409C-BE32-E72D297353CC}">
              <c16:uniqueId val="{00000000-B944-495E-8AE6-81D480231831}"/>
            </c:ext>
          </c:extLst>
        </c:ser>
        <c:dLbls>
          <c:dLblPos val="outEnd"/>
          <c:showLegendKey val="0"/>
          <c:showVal val="1"/>
          <c:showCatName val="0"/>
          <c:showSerName val="0"/>
          <c:showPercent val="0"/>
          <c:showBubbleSize val="0"/>
        </c:dLbls>
        <c:gapWidth val="31"/>
        <c:overlap val="-27"/>
        <c:axId val="242817151"/>
        <c:axId val="242817631"/>
      </c:barChart>
      <c:catAx>
        <c:axId val="2428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42817631"/>
        <c:crosses val="autoZero"/>
        <c:auto val="1"/>
        <c:lblAlgn val="ctr"/>
        <c:lblOffset val="100"/>
        <c:noMultiLvlLbl val="0"/>
      </c:catAx>
      <c:valAx>
        <c:axId val="24281763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4281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API'S!region wise total order</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API''S'!$B$3</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API''S'!$A$4:$A$8</c:f>
              <c:strCache>
                <c:ptCount val="4"/>
                <c:pt idx="0">
                  <c:v>West</c:v>
                </c:pt>
                <c:pt idx="1">
                  <c:v>North</c:v>
                </c:pt>
                <c:pt idx="2">
                  <c:v>East</c:v>
                </c:pt>
                <c:pt idx="3">
                  <c:v>South</c:v>
                </c:pt>
              </c:strCache>
            </c:strRef>
          </c:cat>
          <c:val>
            <c:numRef>
              <c:f>'Customer API''S'!$B$4:$B$8</c:f>
              <c:numCache>
                <c:formatCode>General</c:formatCode>
                <c:ptCount val="4"/>
                <c:pt idx="0">
                  <c:v>539</c:v>
                </c:pt>
                <c:pt idx="1">
                  <c:v>754</c:v>
                </c:pt>
                <c:pt idx="2">
                  <c:v>650</c:v>
                </c:pt>
                <c:pt idx="3">
                  <c:v>413</c:v>
                </c:pt>
              </c:numCache>
            </c:numRef>
          </c:val>
          <c:extLst>
            <c:ext xmlns:c16="http://schemas.microsoft.com/office/drawing/2014/chart" uri="{C3380CC4-5D6E-409C-BE32-E72D297353CC}">
              <c16:uniqueId val="{00000000-4583-4ABB-B4BD-898756CC2C0A}"/>
            </c:ext>
          </c:extLst>
        </c:ser>
        <c:dLbls>
          <c:showLegendKey val="0"/>
          <c:showVal val="0"/>
          <c:showCatName val="0"/>
          <c:showSerName val="0"/>
          <c:showPercent val="0"/>
          <c:showBubbleSize val="0"/>
        </c:dLbls>
        <c:gapWidth val="43"/>
        <c:overlap val="-27"/>
        <c:axId val="1222885183"/>
        <c:axId val="1222886143"/>
      </c:barChart>
      <c:catAx>
        <c:axId val="122288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86143"/>
        <c:crosses val="autoZero"/>
        <c:auto val="1"/>
        <c:lblAlgn val="ctr"/>
        <c:lblOffset val="100"/>
        <c:noMultiLvlLbl val="0"/>
      </c:catAx>
      <c:valAx>
        <c:axId val="1222886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8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API'S!industry wise total order</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API''S'!$B$11</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API''S'!$A$12:$A$16</c:f>
              <c:strCache>
                <c:ptCount val="4"/>
                <c:pt idx="0">
                  <c:v>Construction</c:v>
                </c:pt>
                <c:pt idx="1">
                  <c:v>Industrial</c:v>
                </c:pt>
                <c:pt idx="2">
                  <c:v>Packaging</c:v>
                </c:pt>
                <c:pt idx="3">
                  <c:v>Transportation</c:v>
                </c:pt>
              </c:strCache>
            </c:strRef>
          </c:cat>
          <c:val>
            <c:numRef>
              <c:f>'Customer API''S'!$B$12:$B$16</c:f>
              <c:numCache>
                <c:formatCode>General</c:formatCode>
                <c:ptCount val="4"/>
                <c:pt idx="0">
                  <c:v>493</c:v>
                </c:pt>
                <c:pt idx="1">
                  <c:v>457</c:v>
                </c:pt>
                <c:pt idx="2">
                  <c:v>536</c:v>
                </c:pt>
                <c:pt idx="3">
                  <c:v>870</c:v>
                </c:pt>
              </c:numCache>
            </c:numRef>
          </c:val>
          <c:extLst>
            <c:ext xmlns:c16="http://schemas.microsoft.com/office/drawing/2014/chart" uri="{C3380CC4-5D6E-409C-BE32-E72D297353CC}">
              <c16:uniqueId val="{00000000-B711-4BBA-8D19-122258AC8CC1}"/>
            </c:ext>
          </c:extLst>
        </c:ser>
        <c:dLbls>
          <c:showLegendKey val="0"/>
          <c:showVal val="0"/>
          <c:showCatName val="0"/>
          <c:showSerName val="0"/>
          <c:showPercent val="0"/>
          <c:showBubbleSize val="0"/>
        </c:dLbls>
        <c:gapWidth val="49"/>
        <c:overlap val="-27"/>
        <c:axId val="1222877983"/>
        <c:axId val="1222889983"/>
      </c:barChart>
      <c:catAx>
        <c:axId val="122287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89983"/>
        <c:crosses val="autoZero"/>
        <c:auto val="1"/>
        <c:lblAlgn val="ctr"/>
        <c:lblOffset val="100"/>
        <c:noMultiLvlLbl val="0"/>
      </c:catAx>
      <c:valAx>
        <c:axId val="122288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7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API'S!industry wise total revenue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API''S'!$B$19</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API''S'!$A$20:$A$24</c:f>
              <c:strCache>
                <c:ptCount val="4"/>
                <c:pt idx="0">
                  <c:v>Construction</c:v>
                </c:pt>
                <c:pt idx="1">
                  <c:v>Industrial</c:v>
                </c:pt>
                <c:pt idx="2">
                  <c:v>Packaging</c:v>
                </c:pt>
                <c:pt idx="3">
                  <c:v>Transportation</c:v>
                </c:pt>
              </c:strCache>
            </c:strRef>
          </c:cat>
          <c:val>
            <c:numRef>
              <c:f>'Customer API''S'!$B$20:$B$24</c:f>
              <c:numCache>
                <c:formatCode>_ "₹"\ * #,##0_ ;_ "₹"\ * \-#,##0_ ;_ "₹"\ * "-"??_ ;_ @_ </c:formatCode>
                <c:ptCount val="4"/>
                <c:pt idx="0">
                  <c:v>14711149</c:v>
                </c:pt>
                <c:pt idx="1">
                  <c:v>11103102</c:v>
                </c:pt>
                <c:pt idx="2">
                  <c:v>11556275</c:v>
                </c:pt>
                <c:pt idx="3">
                  <c:v>15136239</c:v>
                </c:pt>
              </c:numCache>
            </c:numRef>
          </c:val>
          <c:extLst>
            <c:ext xmlns:c16="http://schemas.microsoft.com/office/drawing/2014/chart" uri="{C3380CC4-5D6E-409C-BE32-E72D297353CC}">
              <c16:uniqueId val="{00000000-D165-4855-9A58-26223C4216BD}"/>
            </c:ext>
          </c:extLst>
        </c:ser>
        <c:dLbls>
          <c:dLblPos val="outEnd"/>
          <c:showLegendKey val="0"/>
          <c:showVal val="1"/>
          <c:showCatName val="0"/>
          <c:showSerName val="0"/>
          <c:showPercent val="0"/>
          <c:showBubbleSize val="0"/>
        </c:dLbls>
        <c:gapWidth val="50"/>
        <c:axId val="1222892383"/>
        <c:axId val="1222880383"/>
      </c:barChart>
      <c:catAx>
        <c:axId val="122289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80383"/>
        <c:crosses val="autoZero"/>
        <c:auto val="1"/>
        <c:lblAlgn val="ctr"/>
        <c:lblOffset val="100"/>
        <c:noMultiLvlLbl val="0"/>
      </c:catAx>
      <c:valAx>
        <c:axId val="1222880383"/>
        <c:scaling>
          <c:orientation val="minMax"/>
        </c:scaling>
        <c:delete val="0"/>
        <c:axPos val="b"/>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9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API'S!region wise total revenue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API''S'!$B$27</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API''S'!$A$28:$A$32</c:f>
              <c:strCache>
                <c:ptCount val="4"/>
                <c:pt idx="0">
                  <c:v>West</c:v>
                </c:pt>
                <c:pt idx="1">
                  <c:v>North</c:v>
                </c:pt>
                <c:pt idx="2">
                  <c:v>East</c:v>
                </c:pt>
                <c:pt idx="3">
                  <c:v>South</c:v>
                </c:pt>
              </c:strCache>
            </c:strRef>
          </c:cat>
          <c:val>
            <c:numRef>
              <c:f>'Customer API''S'!$B$28:$B$32</c:f>
              <c:numCache>
                <c:formatCode>_ "₹"\ * #,##0_ ;_ "₹"\ * \-#,##0_ ;_ "₹"\ * "-"??_ ;_ @_ </c:formatCode>
                <c:ptCount val="4"/>
                <c:pt idx="0">
                  <c:v>14289603</c:v>
                </c:pt>
                <c:pt idx="1">
                  <c:v>12374015</c:v>
                </c:pt>
                <c:pt idx="2">
                  <c:v>13586919</c:v>
                </c:pt>
                <c:pt idx="3">
                  <c:v>12256228</c:v>
                </c:pt>
              </c:numCache>
            </c:numRef>
          </c:val>
          <c:extLst>
            <c:ext xmlns:c16="http://schemas.microsoft.com/office/drawing/2014/chart" uri="{C3380CC4-5D6E-409C-BE32-E72D297353CC}">
              <c16:uniqueId val="{00000000-CDB4-47F4-A7D5-062F80297CCB}"/>
            </c:ext>
          </c:extLst>
        </c:ser>
        <c:dLbls>
          <c:showLegendKey val="0"/>
          <c:showVal val="0"/>
          <c:showCatName val="0"/>
          <c:showSerName val="0"/>
          <c:showPercent val="0"/>
          <c:showBubbleSize val="0"/>
        </c:dLbls>
        <c:gapWidth val="49"/>
        <c:axId val="1222881823"/>
        <c:axId val="1222882783"/>
      </c:barChart>
      <c:catAx>
        <c:axId val="122288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82783"/>
        <c:crosses val="autoZero"/>
        <c:auto val="1"/>
        <c:lblAlgn val="ctr"/>
        <c:lblOffset val="100"/>
        <c:noMultiLvlLbl val="0"/>
      </c:catAx>
      <c:valAx>
        <c:axId val="1222882783"/>
        <c:scaling>
          <c:orientation val="minMax"/>
        </c:scaling>
        <c:delete val="0"/>
        <c:axPos val="b"/>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8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[Manaksia_Aluminium_Project.xlsx]Customer API'S!repeat cus</c:name>
    <c:fmtId val="5"/>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API''S'!$B$35:$B$36</c:f>
              <c:strCache>
                <c:ptCount val="1"/>
                <c:pt idx="0">
                  <c:v>No</c:v>
                </c:pt>
              </c:strCache>
            </c:strRef>
          </c:tx>
          <c:spPr>
            <a:solidFill>
              <a:schemeClr val="accent2">
                <a:lumMod val="60000"/>
                <a:lumOff val="40000"/>
              </a:scheme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API''S'!$A$37:$A$41</c:f>
              <c:strCache>
                <c:ptCount val="4"/>
                <c:pt idx="0">
                  <c:v>West</c:v>
                </c:pt>
                <c:pt idx="1">
                  <c:v>North</c:v>
                </c:pt>
                <c:pt idx="2">
                  <c:v>East</c:v>
                </c:pt>
                <c:pt idx="3">
                  <c:v>South</c:v>
                </c:pt>
              </c:strCache>
            </c:strRef>
          </c:cat>
          <c:val>
            <c:numRef>
              <c:f>'Customer API''S'!$B$37:$B$41</c:f>
              <c:numCache>
                <c:formatCode>0.00%</c:formatCode>
                <c:ptCount val="4"/>
                <c:pt idx="0">
                  <c:v>0.113496041890983</c:v>
                </c:pt>
                <c:pt idx="1">
                  <c:v>0.12255260822105495</c:v>
                </c:pt>
                <c:pt idx="2">
                  <c:v>0.1004992404312092</c:v>
                </c:pt>
                <c:pt idx="3">
                  <c:v>0.10130031815900294</c:v>
                </c:pt>
              </c:numCache>
            </c:numRef>
          </c:val>
          <c:extLst>
            <c:ext xmlns:c16="http://schemas.microsoft.com/office/drawing/2014/chart" uri="{C3380CC4-5D6E-409C-BE32-E72D297353CC}">
              <c16:uniqueId val="{00000000-9643-44FD-92F9-03909D791C45}"/>
            </c:ext>
          </c:extLst>
        </c:ser>
        <c:ser>
          <c:idx val="1"/>
          <c:order val="1"/>
          <c:tx>
            <c:strRef>
              <c:f>'Customer API''S'!$C$35:$C$36</c:f>
              <c:strCache>
                <c:ptCount val="1"/>
                <c:pt idx="0">
                  <c:v>Yes</c:v>
                </c:pt>
              </c:strCache>
            </c:strRef>
          </c:tx>
          <c:spPr>
            <a:solidFill>
              <a:schemeClr val="accent3">
                <a:lumMod val="75000"/>
              </a:scheme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API''S'!$A$37:$A$41</c:f>
              <c:strCache>
                <c:ptCount val="4"/>
                <c:pt idx="0">
                  <c:v>West</c:v>
                </c:pt>
                <c:pt idx="1">
                  <c:v>North</c:v>
                </c:pt>
                <c:pt idx="2">
                  <c:v>East</c:v>
                </c:pt>
                <c:pt idx="3">
                  <c:v>South</c:v>
                </c:pt>
              </c:strCache>
            </c:strRef>
          </c:cat>
          <c:val>
            <c:numRef>
              <c:f>'Customer API''S'!$C$37:$C$41</c:f>
              <c:numCache>
                <c:formatCode>0.00%</c:formatCode>
                <c:ptCount val="4"/>
                <c:pt idx="0">
                  <c:v>0.15865180420084918</c:v>
                </c:pt>
                <c:pt idx="1">
                  <c:v>0.11311254844970929</c:v>
                </c:pt>
                <c:pt idx="2">
                  <c:v>0.15826587297846287</c:v>
                </c:pt>
                <c:pt idx="3">
                  <c:v>0.1321215656687286</c:v>
                </c:pt>
              </c:numCache>
            </c:numRef>
          </c:val>
          <c:extLst>
            <c:ext xmlns:c16="http://schemas.microsoft.com/office/drawing/2014/chart" uri="{C3380CC4-5D6E-409C-BE32-E72D297353CC}">
              <c16:uniqueId val="{00000001-9643-44FD-92F9-03909D791C45}"/>
            </c:ext>
          </c:extLst>
        </c:ser>
        <c:dLbls>
          <c:showLegendKey val="0"/>
          <c:showVal val="0"/>
          <c:showCatName val="0"/>
          <c:showSerName val="0"/>
          <c:showPercent val="0"/>
          <c:showBubbleSize val="0"/>
        </c:dLbls>
        <c:gapWidth val="107"/>
        <c:overlap val="-10"/>
        <c:axId val="1222899583"/>
        <c:axId val="1222901023"/>
      </c:barChart>
      <c:catAx>
        <c:axId val="12228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901023"/>
        <c:crosses val="autoZero"/>
        <c:auto val="1"/>
        <c:lblAlgn val="ctr"/>
        <c:lblOffset val="100"/>
        <c:noMultiLvlLbl val="0"/>
      </c:catAx>
      <c:valAx>
        <c:axId val="122290102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2899583"/>
        <c:crosses val="autoZero"/>
        <c:crossBetween val="between"/>
      </c:valAx>
      <c:spPr>
        <a:noFill/>
        <a:ln>
          <a:noFill/>
        </a:ln>
        <a:effectLst/>
      </c:spPr>
    </c:plotArea>
    <c:legend>
      <c:legendPos val="t"/>
      <c:layout>
        <c:manualLayout>
          <c:xMode val="edge"/>
          <c:yMode val="edge"/>
          <c:x val="0.44841824501667021"/>
          <c:y val="0.2309612983770287"/>
          <c:w val="9.1877480696071975E-2"/>
          <c:h val="0.10573027566024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[Manaksia_Aluminium_Project.xlsx]Product APS'S!plant wise product</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APS''S'!$B$7:$B$8</c:f>
              <c:strCache>
                <c:ptCount val="1"/>
                <c:pt idx="0">
                  <c:v>Haldia Plant</c:v>
                </c:pt>
              </c:strCache>
            </c:strRef>
          </c:tx>
          <c:spPr>
            <a:solidFill>
              <a:schemeClr val="accent6"/>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APS''S'!$A$9:$A$13</c:f>
              <c:strCache>
                <c:ptCount val="4"/>
                <c:pt idx="0">
                  <c:v>Aluminium Sheets &amp; Coils</c:v>
                </c:pt>
                <c:pt idx="1">
                  <c:v>Colour Coated Coils</c:v>
                </c:pt>
                <c:pt idx="2">
                  <c:v>Flooring Sheets</c:v>
                </c:pt>
                <c:pt idx="3">
                  <c:v>Roofing Sheets</c:v>
                </c:pt>
              </c:strCache>
            </c:strRef>
          </c:cat>
          <c:val>
            <c:numRef>
              <c:f>'Product APS''S'!$B$9:$B$13</c:f>
              <c:numCache>
                <c:formatCode>General</c:formatCode>
                <c:ptCount val="4"/>
                <c:pt idx="0">
                  <c:v>6</c:v>
                </c:pt>
                <c:pt idx="1">
                  <c:v>4</c:v>
                </c:pt>
                <c:pt idx="2">
                  <c:v>5</c:v>
                </c:pt>
                <c:pt idx="3">
                  <c:v>7</c:v>
                </c:pt>
              </c:numCache>
            </c:numRef>
          </c:val>
          <c:extLst>
            <c:ext xmlns:c16="http://schemas.microsoft.com/office/drawing/2014/chart" uri="{C3380CC4-5D6E-409C-BE32-E72D297353CC}">
              <c16:uniqueId val="{00000000-9085-4AA5-9376-B111CC63F22B}"/>
            </c:ext>
          </c:extLst>
        </c:ser>
        <c:ser>
          <c:idx val="1"/>
          <c:order val="1"/>
          <c:tx>
            <c:strRef>
              <c:f>'Product APS''S'!$C$7:$C$8</c:f>
              <c:strCache>
                <c:ptCount val="1"/>
                <c:pt idx="0">
                  <c:v>Kolkata Plant</c:v>
                </c:pt>
              </c:strCache>
            </c:strRef>
          </c:tx>
          <c:spPr>
            <a:solidFill>
              <a:schemeClr val="accent5"/>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APS''S'!$A$9:$A$13</c:f>
              <c:strCache>
                <c:ptCount val="4"/>
                <c:pt idx="0">
                  <c:v>Aluminium Sheets &amp; Coils</c:v>
                </c:pt>
                <c:pt idx="1">
                  <c:v>Colour Coated Coils</c:v>
                </c:pt>
                <c:pt idx="2">
                  <c:v>Flooring Sheets</c:v>
                </c:pt>
                <c:pt idx="3">
                  <c:v>Roofing Sheets</c:v>
                </c:pt>
              </c:strCache>
            </c:strRef>
          </c:cat>
          <c:val>
            <c:numRef>
              <c:f>'Product APS''S'!$C$9:$C$13</c:f>
              <c:numCache>
                <c:formatCode>General</c:formatCode>
                <c:ptCount val="4"/>
                <c:pt idx="0">
                  <c:v>6</c:v>
                </c:pt>
                <c:pt idx="1">
                  <c:v>8</c:v>
                </c:pt>
                <c:pt idx="2">
                  <c:v>7</c:v>
                </c:pt>
                <c:pt idx="3">
                  <c:v>5</c:v>
                </c:pt>
              </c:numCache>
            </c:numRef>
          </c:val>
          <c:extLst>
            <c:ext xmlns:c16="http://schemas.microsoft.com/office/drawing/2014/chart" uri="{C3380CC4-5D6E-409C-BE32-E72D297353CC}">
              <c16:uniqueId val="{00000001-2593-4F5E-BC57-14D19A5E07C4}"/>
            </c:ext>
          </c:extLst>
        </c:ser>
        <c:dLbls>
          <c:showLegendKey val="0"/>
          <c:showVal val="0"/>
          <c:showCatName val="0"/>
          <c:showSerName val="0"/>
          <c:showPercent val="0"/>
          <c:showBubbleSize val="0"/>
        </c:dLbls>
        <c:gapWidth val="20"/>
        <c:overlap val="-27"/>
        <c:axId val="938968047"/>
        <c:axId val="938968527"/>
      </c:barChart>
      <c:catAx>
        <c:axId val="93896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8968527"/>
        <c:crosses val="autoZero"/>
        <c:auto val="1"/>
        <c:lblAlgn val="ctr"/>
        <c:lblOffset val="100"/>
        <c:noMultiLvlLbl val="0"/>
      </c:catAx>
      <c:valAx>
        <c:axId val="938968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3896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[Manaksia_Aluminium_Project.xlsx]Product APS'S!product wise defect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333333333333333"/>
              <c:y val="0.1990740740740740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3333333333333333"/>
              <c:y val="-0.2083333333333333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555555555555555"/>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333333333333333"/>
              <c:y val="0.1990740740740740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5"/>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333333333333333"/>
              <c:y val="-0.2083333333333333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55555555555555"/>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934609250398732"/>
              <c:y val="0.17003804402498468"/>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5"/>
              <c:y val="-0.18055555555555564"/>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3333333333333333"/>
              <c:y val="-0.20833333333333334"/>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7947889587964183"/>
              <c:y val="0.19696105060038221"/>
            </c:manualLayout>
          </c:layout>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'Product APS''S'!$B$16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66-4AD3-B351-540FE6D667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66-4AD3-B351-540FE6D667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66-4AD3-B351-540FE6D667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66-4AD3-B351-540FE6D66743}"/>
              </c:ext>
            </c:extLst>
          </c:dPt>
          <c:dLbls>
            <c:dLbl>
              <c:idx val="0"/>
              <c:layout>
                <c:manualLayout>
                  <c:x val="-0.12934609250398732"/>
                  <c:y val="0.170038044024984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66-4AD3-B351-540FE6D66743}"/>
                </c:ext>
              </c:extLst>
            </c:dLbl>
            <c:dLbl>
              <c:idx val="1"/>
              <c:layout>
                <c:manualLayout>
                  <c:x val="-0.15"/>
                  <c:y val="-0.180555555555555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66-4AD3-B351-540FE6D66743}"/>
                </c:ext>
              </c:extLst>
            </c:dLbl>
            <c:dLbl>
              <c:idx val="2"/>
              <c:layout>
                <c:manualLayout>
                  <c:x val="0.13333333333333333"/>
                  <c:y val="-0.2083333333333333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66-4AD3-B351-540FE6D66743}"/>
                </c:ext>
              </c:extLst>
            </c:dLbl>
            <c:dLbl>
              <c:idx val="3"/>
              <c:layout>
                <c:manualLayout>
                  <c:x val="0.17947889587964183"/>
                  <c:y val="0.1969610506003822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E66-4AD3-B351-540FE6D66743}"/>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APS''S'!$A$17:$A$21</c:f>
              <c:strCache>
                <c:ptCount val="4"/>
                <c:pt idx="0">
                  <c:v>Aluminium Sheets &amp; Coils</c:v>
                </c:pt>
                <c:pt idx="1">
                  <c:v>Colour Coated Coils</c:v>
                </c:pt>
                <c:pt idx="2">
                  <c:v>Flooring Sheets</c:v>
                </c:pt>
                <c:pt idx="3">
                  <c:v>Roofing Sheets</c:v>
                </c:pt>
              </c:strCache>
            </c:strRef>
          </c:cat>
          <c:val>
            <c:numRef>
              <c:f>'Product APS''S'!$B$17:$B$21</c:f>
              <c:numCache>
                <c:formatCode>General</c:formatCode>
                <c:ptCount val="4"/>
                <c:pt idx="0">
                  <c:v>28.580000000000002</c:v>
                </c:pt>
                <c:pt idx="1">
                  <c:v>33.630000000000003</c:v>
                </c:pt>
                <c:pt idx="2">
                  <c:v>29.1</c:v>
                </c:pt>
                <c:pt idx="3">
                  <c:v>33.799999999999997</c:v>
                </c:pt>
              </c:numCache>
            </c:numRef>
          </c:val>
          <c:extLst>
            <c:ext xmlns:c16="http://schemas.microsoft.com/office/drawing/2014/chart" uri="{C3380CC4-5D6E-409C-BE32-E72D297353CC}">
              <c16:uniqueId val="{00000008-2E66-4AD3-B351-540FE6D6674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[Manaksia_Aluminium_Project.xlsx]APS'S!PivotTable19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'APS''S'!$B$7</c:f>
              <c:strCache>
                <c:ptCount val="1"/>
                <c:pt idx="0">
                  <c:v>Total</c:v>
                </c:pt>
              </c:strCache>
            </c:strRef>
          </c:tx>
          <c:spPr>
            <a:solidFill>
              <a:schemeClr val="accent1"/>
            </a:solidFill>
            <a:ln>
              <a:noFill/>
            </a:ln>
            <a:effectLst/>
          </c:spPr>
          <c:invertIfNegative val="0"/>
          <c:cat>
            <c:strRef>
              <c:f>'APS''S'!$A$8:$A$20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'APS''S'!$B$8:$B$20</c:f>
              <c:numCache>
                <c:formatCode>_ [$₹-4009]\ * #,##0_ ;_ [$₹-4009]\ * \-#,##0_ ;_ [$₹-4009]\ * "-"??_ ;_ @_ </c:formatCode>
                <c:ptCount val="12"/>
                <c:pt idx="0">
                  <c:v>5529653</c:v>
                </c:pt>
                <c:pt idx="1">
                  <c:v>6124230</c:v>
                </c:pt>
                <c:pt idx="2">
                  <c:v>5113127</c:v>
                </c:pt>
                <c:pt idx="3">
                  <c:v>7270642</c:v>
                </c:pt>
                <c:pt idx="4">
                  <c:v>7228705</c:v>
                </c:pt>
                <c:pt idx="5">
                  <c:v>8035651</c:v>
                </c:pt>
                <c:pt idx="6">
                  <c:v>6001245</c:v>
                </c:pt>
                <c:pt idx="7">
                  <c:v>7968640</c:v>
                </c:pt>
                <c:pt idx="8">
                  <c:v>5255175</c:v>
                </c:pt>
                <c:pt idx="9">
                  <c:v>6473273</c:v>
                </c:pt>
                <c:pt idx="10">
                  <c:v>4345358</c:v>
                </c:pt>
                <c:pt idx="11">
                  <c:v>5605136</c:v>
                </c:pt>
              </c:numCache>
            </c:numRef>
          </c:val>
          <c:extLst>
            <c:ext xmlns:c16="http://schemas.microsoft.com/office/drawing/2014/chart" uri="{C3380CC4-5D6E-409C-BE32-E72D297353CC}">
              <c16:uniqueId val="{00000000-1410-41A6-991E-FDC96EFDF383}"/>
            </c:ext>
          </c:extLst>
        </c:ser>
        <c:dLbls>
          <c:showLegendKey val="0"/>
          <c:showVal val="0"/>
          <c:showCatName val="0"/>
          <c:showSerName val="0"/>
          <c:showPercent val="0"/>
          <c:showBubbleSize val="0"/>
        </c:dLbls>
        <c:gapWidth val="219"/>
        <c:overlap val="-27"/>
        <c:axId val="242817151"/>
        <c:axId val="242817631"/>
      </c:barChart>
      <c:catAx>
        <c:axId val="2428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17631"/>
        <c:crosses val="autoZero"/>
        <c:auto val="1"/>
        <c:lblAlgn val="ctr"/>
        <c:lblOffset val="100"/>
        <c:noMultiLvlLbl val="0"/>
      </c:catAx>
      <c:valAx>
        <c:axId val="24281763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[Manaksia_Aluminium_Project.xlsx]APS'S!PivotTable20</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194444444444448"/>
              <c:y val="0.2384259259259259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4695975503062"/>
                  <c:h val="0.22826917468649752"/>
                </c:manualLayout>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'APS''S'!$B$24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34A-4971-81A7-D8AD8A51EC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FF-485A-9888-CE132E5381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FF-485A-9888-CE132E5381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FF-485A-9888-CE132E53814E}"/>
              </c:ext>
            </c:extLst>
          </c:dPt>
          <c:dLbls>
            <c:dLbl>
              <c:idx val="0"/>
              <c:layout>
                <c:manualLayout>
                  <c:x val="-0.13194444444444448"/>
                  <c:y val="0.2384259259259259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14695975503062"/>
                      <c:h val="0.22826917468649752"/>
                    </c:manualLayout>
                  </c15:layout>
                </c:ext>
                <c:ext xmlns:c16="http://schemas.microsoft.com/office/drawing/2014/chart" uri="{C3380CC4-5D6E-409C-BE32-E72D297353CC}">
                  <c16:uniqueId val="{00000002-434A-4971-81A7-D8AD8A51EC0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'APS''S'!$A$25:$A$29</c:f>
              <c:strCache>
                <c:ptCount val="4"/>
                <c:pt idx="0">
                  <c:v>Aluminium Sheets &amp; Coils</c:v>
                </c:pt>
                <c:pt idx="1">
                  <c:v>Colour Coated Coils</c:v>
                </c:pt>
                <c:pt idx="2">
                  <c:v>Flooring Sheets</c:v>
                </c:pt>
                <c:pt idx="3">
                  <c:v>Roofing Sheets</c:v>
                </c:pt>
              </c:strCache>
            </c:strRef>
          </c:cat>
          <c:val>
            <c:numRef>
              <c:f>'APS''S'!$B$25:$B$29</c:f>
              <c:numCache>
                <c:formatCode>General</c:formatCode>
                <c:ptCount val="4"/>
                <c:pt idx="0">
                  <c:v>79</c:v>
                </c:pt>
                <c:pt idx="1">
                  <c:v>77</c:v>
                </c:pt>
                <c:pt idx="2">
                  <c:v>76</c:v>
                </c:pt>
                <c:pt idx="3">
                  <c:v>68</c:v>
                </c:pt>
              </c:numCache>
            </c:numRef>
          </c:val>
          <c:extLst>
            <c:ext xmlns:c16="http://schemas.microsoft.com/office/drawing/2014/chart" uri="{C3380CC4-5D6E-409C-BE32-E72D297353CC}">
              <c16:uniqueId val="{00000000-434A-4971-81A7-D8AD8A51EC0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[Manaksia_Aluminium_Project.xlsx]APS'S!PivotTable21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'APS''S'!$B$40</c:f>
              <c:strCache>
                <c:ptCount val="1"/>
                <c:pt idx="0">
                  <c:v>Total</c:v>
                </c:pt>
              </c:strCache>
            </c:strRef>
          </c:tx>
          <c:spPr>
            <a:solidFill>
              <a:schemeClr val="accent1"/>
            </a:solidFill>
            <a:ln>
              <a:noFill/>
            </a:ln>
            <a:effectLst/>
          </c:spPr>
          <c:invertIfNegative val="0"/>
          <c:cat>
            <c:strRef>
              <c:f>'APS''S'!$A$41:$A$50</c:f>
              <c:strCache>
                <c:ptCount val="9"/>
                <c:pt idx="0">
                  <c:v>5 Bar Flooring</c:v>
                </c:pt>
                <c:pt idx="1">
                  <c:v>Blue Coated Coil</c:v>
                </c:pt>
                <c:pt idx="2">
                  <c:v>Closure Coil</c:v>
                </c:pt>
                <c:pt idx="3">
                  <c:v>Diamond Pattern</c:v>
                </c:pt>
                <c:pt idx="4">
                  <c:v>Industrial Sheet</c:v>
                </c:pt>
                <c:pt idx="5">
                  <c:v>Plain Coil</c:v>
                </c:pt>
                <c:pt idx="6">
                  <c:v>Red Coated Coil</c:v>
                </c:pt>
                <c:pt idx="7">
                  <c:v>Sinusoidal Roofing</c:v>
                </c:pt>
                <c:pt idx="8">
                  <c:v>Trapezoidal Roofing</c:v>
                </c:pt>
              </c:strCache>
            </c:strRef>
          </c:cat>
          <c:val>
            <c:numRef>
              <c:f>'APS''S'!$B$41:$B$50</c:f>
              <c:numCache>
                <c:formatCode>_ [$₹-4009]\ * #,##0.00_ ;_ [$₹-4009]\ * \-#,##0.00_ ;_ [$₹-4009]\ * "-"??_ ;_ @_ </c:formatCode>
                <c:ptCount val="9"/>
                <c:pt idx="0">
                  <c:v>8656625</c:v>
                </c:pt>
                <c:pt idx="1">
                  <c:v>10935157</c:v>
                </c:pt>
                <c:pt idx="2">
                  <c:v>7867005</c:v>
                </c:pt>
                <c:pt idx="3">
                  <c:v>9874123</c:v>
                </c:pt>
                <c:pt idx="4">
                  <c:v>7081702</c:v>
                </c:pt>
                <c:pt idx="5">
                  <c:v>5761392</c:v>
                </c:pt>
                <c:pt idx="6">
                  <c:v>8680999</c:v>
                </c:pt>
                <c:pt idx="7">
                  <c:v>6993491</c:v>
                </c:pt>
                <c:pt idx="8">
                  <c:v>9100341</c:v>
                </c:pt>
              </c:numCache>
            </c:numRef>
          </c:val>
          <c:extLst>
            <c:ext xmlns:c16="http://schemas.microsoft.com/office/drawing/2014/chart" uri="{C3380CC4-5D6E-409C-BE32-E72D297353CC}">
              <c16:uniqueId val="{00000000-5253-4CB6-B964-18ACC308EFCC}"/>
            </c:ext>
          </c:extLst>
        </c:ser>
        <c:dLbls>
          <c:showLegendKey val="0"/>
          <c:showVal val="0"/>
          <c:showCatName val="0"/>
          <c:showSerName val="0"/>
          <c:showPercent val="0"/>
          <c:showBubbleSize val="0"/>
        </c:dLbls>
        <c:gapWidth val="219"/>
        <c:overlap val="-27"/>
        <c:axId val="188056975"/>
        <c:axId val="188060815"/>
      </c:barChart>
      <c:catAx>
        <c:axId val="18805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60815"/>
        <c:crosses val="autoZero"/>
        <c:auto val="1"/>
        <c:lblAlgn val="ctr"/>
        <c:lblOffset val="100"/>
        <c:noMultiLvlLbl val="0"/>
      </c:catAx>
      <c:valAx>
        <c:axId val="188060815"/>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5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API'S!industry wise total revenue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API''S'!$B$19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API''S'!$A$20:$A$24</c:f>
              <c:strCache>
                <c:ptCount val="4"/>
                <c:pt idx="0">
                  <c:v>Construction</c:v>
                </c:pt>
                <c:pt idx="1">
                  <c:v>Industrial</c:v>
                </c:pt>
                <c:pt idx="2">
                  <c:v>Packaging</c:v>
                </c:pt>
                <c:pt idx="3">
                  <c:v>Transportation</c:v>
                </c:pt>
              </c:strCache>
            </c:strRef>
          </c:cat>
          <c:val>
            <c:numRef>
              <c:f>'Customer API''S'!$B$20:$B$24</c:f>
              <c:numCache>
                <c:formatCode>_ "₹"\ * #,##0_ ;_ "₹"\ * \-#,##0_ ;_ "₹"\ * "-"??_ ;_ @_ </c:formatCode>
                <c:ptCount val="4"/>
                <c:pt idx="0">
                  <c:v>14711149</c:v>
                </c:pt>
                <c:pt idx="1">
                  <c:v>11103102</c:v>
                </c:pt>
                <c:pt idx="2">
                  <c:v>11556275</c:v>
                </c:pt>
                <c:pt idx="3">
                  <c:v>15136239</c:v>
                </c:pt>
              </c:numCache>
            </c:numRef>
          </c:val>
          <c:extLst>
            <c:ext xmlns:c16="http://schemas.microsoft.com/office/drawing/2014/chart" uri="{C3380CC4-5D6E-409C-BE32-E72D297353CC}">
              <c16:uniqueId val="{00000000-F4F9-4C7E-88A4-8B9F94269BA4}"/>
            </c:ext>
          </c:extLst>
        </c:ser>
        <c:dLbls>
          <c:dLblPos val="outEnd"/>
          <c:showLegendKey val="0"/>
          <c:showVal val="1"/>
          <c:showCatName val="0"/>
          <c:showSerName val="0"/>
          <c:showPercent val="0"/>
          <c:showBubbleSize val="0"/>
        </c:dLbls>
        <c:gapWidth val="182"/>
        <c:axId val="1222892383"/>
        <c:axId val="1222880383"/>
      </c:barChart>
      <c:catAx>
        <c:axId val="122289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80383"/>
        <c:crosses val="autoZero"/>
        <c:auto val="1"/>
        <c:lblAlgn val="ctr"/>
        <c:lblOffset val="100"/>
        <c:noMultiLvlLbl val="0"/>
      </c:catAx>
      <c:valAx>
        <c:axId val="1222880383"/>
        <c:scaling>
          <c:orientation val="minMax"/>
        </c:scaling>
        <c:delete val="0"/>
        <c:axPos val="b"/>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9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API'S!region wise total order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API''S'!$B$3</c:f>
              <c:strCache>
                <c:ptCount val="1"/>
                <c:pt idx="0">
                  <c:v>Total</c:v>
                </c:pt>
              </c:strCache>
            </c:strRef>
          </c:tx>
          <c:spPr>
            <a:solidFill>
              <a:schemeClr val="accent1"/>
            </a:solidFill>
            <a:ln>
              <a:noFill/>
            </a:ln>
            <a:effectLst/>
          </c:spPr>
          <c:invertIfNegative val="0"/>
          <c:cat>
            <c:strRef>
              <c:f>'Customer API''S'!$A$4:$A$8</c:f>
              <c:strCache>
                <c:ptCount val="4"/>
                <c:pt idx="0">
                  <c:v>West</c:v>
                </c:pt>
                <c:pt idx="1">
                  <c:v>North</c:v>
                </c:pt>
                <c:pt idx="2">
                  <c:v>East</c:v>
                </c:pt>
                <c:pt idx="3">
                  <c:v>South</c:v>
                </c:pt>
              </c:strCache>
            </c:strRef>
          </c:cat>
          <c:val>
            <c:numRef>
              <c:f>'Customer API''S'!$B$4:$B$8</c:f>
              <c:numCache>
                <c:formatCode>General</c:formatCode>
                <c:ptCount val="4"/>
                <c:pt idx="0">
                  <c:v>539</c:v>
                </c:pt>
                <c:pt idx="1">
                  <c:v>754</c:v>
                </c:pt>
                <c:pt idx="2">
                  <c:v>650</c:v>
                </c:pt>
                <c:pt idx="3">
                  <c:v>413</c:v>
                </c:pt>
              </c:numCache>
            </c:numRef>
          </c:val>
          <c:extLst>
            <c:ext xmlns:c16="http://schemas.microsoft.com/office/drawing/2014/chart" uri="{C3380CC4-5D6E-409C-BE32-E72D297353CC}">
              <c16:uniqueId val="{00000000-8955-474C-9BCA-18BA380418ED}"/>
            </c:ext>
          </c:extLst>
        </c:ser>
        <c:dLbls>
          <c:showLegendKey val="0"/>
          <c:showVal val="0"/>
          <c:showCatName val="0"/>
          <c:showSerName val="0"/>
          <c:showPercent val="0"/>
          <c:showBubbleSize val="0"/>
        </c:dLbls>
        <c:gapWidth val="219"/>
        <c:overlap val="-27"/>
        <c:axId val="1222885183"/>
        <c:axId val="1222886143"/>
      </c:barChart>
      <c:catAx>
        <c:axId val="122288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86143"/>
        <c:crosses val="autoZero"/>
        <c:auto val="1"/>
        <c:lblAlgn val="ctr"/>
        <c:lblOffset val="100"/>
        <c:noMultiLvlLbl val="0"/>
      </c:catAx>
      <c:valAx>
        <c:axId val="122288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8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API'S!industry wise total order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API''S'!$B$11</c:f>
              <c:strCache>
                <c:ptCount val="1"/>
                <c:pt idx="0">
                  <c:v>Total</c:v>
                </c:pt>
              </c:strCache>
            </c:strRef>
          </c:tx>
          <c:spPr>
            <a:solidFill>
              <a:schemeClr val="accent1"/>
            </a:solidFill>
            <a:ln>
              <a:noFill/>
            </a:ln>
            <a:effectLst/>
          </c:spPr>
          <c:invertIfNegative val="0"/>
          <c:cat>
            <c:strRef>
              <c:f>'Customer API''S'!$A$12:$A$16</c:f>
              <c:strCache>
                <c:ptCount val="4"/>
                <c:pt idx="0">
                  <c:v>Construction</c:v>
                </c:pt>
                <c:pt idx="1">
                  <c:v>Industrial</c:v>
                </c:pt>
                <c:pt idx="2">
                  <c:v>Packaging</c:v>
                </c:pt>
                <c:pt idx="3">
                  <c:v>Transportation</c:v>
                </c:pt>
              </c:strCache>
            </c:strRef>
          </c:cat>
          <c:val>
            <c:numRef>
              <c:f>'Customer API''S'!$B$12:$B$16</c:f>
              <c:numCache>
                <c:formatCode>General</c:formatCode>
                <c:ptCount val="4"/>
                <c:pt idx="0">
                  <c:v>493</c:v>
                </c:pt>
                <c:pt idx="1">
                  <c:v>457</c:v>
                </c:pt>
                <c:pt idx="2">
                  <c:v>536</c:v>
                </c:pt>
                <c:pt idx="3">
                  <c:v>870</c:v>
                </c:pt>
              </c:numCache>
            </c:numRef>
          </c:val>
          <c:extLst>
            <c:ext xmlns:c16="http://schemas.microsoft.com/office/drawing/2014/chart" uri="{C3380CC4-5D6E-409C-BE32-E72D297353CC}">
              <c16:uniqueId val="{00000000-7540-4472-BEBA-EC6ADACB425B}"/>
            </c:ext>
          </c:extLst>
        </c:ser>
        <c:dLbls>
          <c:showLegendKey val="0"/>
          <c:showVal val="0"/>
          <c:showCatName val="0"/>
          <c:showSerName val="0"/>
          <c:showPercent val="0"/>
          <c:showBubbleSize val="0"/>
        </c:dLbls>
        <c:gapWidth val="219"/>
        <c:overlap val="-27"/>
        <c:axId val="1222877983"/>
        <c:axId val="1222889983"/>
      </c:barChart>
      <c:catAx>
        <c:axId val="122287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89983"/>
        <c:crosses val="autoZero"/>
        <c:auto val="1"/>
        <c:lblAlgn val="ctr"/>
        <c:lblOffset val="100"/>
        <c:noMultiLvlLbl val="0"/>
      </c:catAx>
      <c:valAx>
        <c:axId val="122288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7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API'S!region wise total revenue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API''S'!$B$27</c:f>
              <c:strCache>
                <c:ptCount val="1"/>
                <c:pt idx="0">
                  <c:v>Total</c:v>
                </c:pt>
              </c:strCache>
            </c:strRef>
          </c:tx>
          <c:spPr>
            <a:solidFill>
              <a:schemeClr val="accent1"/>
            </a:solidFill>
            <a:ln>
              <a:noFill/>
            </a:ln>
            <a:effectLst/>
          </c:spPr>
          <c:invertIfNegative val="0"/>
          <c:cat>
            <c:strRef>
              <c:f>'Customer API''S'!$A$28:$A$32</c:f>
              <c:strCache>
                <c:ptCount val="4"/>
                <c:pt idx="0">
                  <c:v>West</c:v>
                </c:pt>
                <c:pt idx="1">
                  <c:v>North</c:v>
                </c:pt>
                <c:pt idx="2">
                  <c:v>East</c:v>
                </c:pt>
                <c:pt idx="3">
                  <c:v>South</c:v>
                </c:pt>
              </c:strCache>
            </c:strRef>
          </c:cat>
          <c:val>
            <c:numRef>
              <c:f>'Customer API''S'!$B$28:$B$32</c:f>
              <c:numCache>
                <c:formatCode>_ "₹"\ * #,##0_ ;_ "₹"\ * \-#,##0_ ;_ "₹"\ * "-"??_ ;_ @_ </c:formatCode>
                <c:ptCount val="4"/>
                <c:pt idx="0">
                  <c:v>14289603</c:v>
                </c:pt>
                <c:pt idx="1">
                  <c:v>12374015</c:v>
                </c:pt>
                <c:pt idx="2">
                  <c:v>13586919</c:v>
                </c:pt>
                <c:pt idx="3">
                  <c:v>12256228</c:v>
                </c:pt>
              </c:numCache>
            </c:numRef>
          </c:val>
          <c:extLst>
            <c:ext xmlns:c16="http://schemas.microsoft.com/office/drawing/2014/chart" uri="{C3380CC4-5D6E-409C-BE32-E72D297353CC}">
              <c16:uniqueId val="{00000000-554B-41AE-953C-0D78713CDFFF}"/>
            </c:ext>
          </c:extLst>
        </c:ser>
        <c:dLbls>
          <c:showLegendKey val="0"/>
          <c:showVal val="0"/>
          <c:showCatName val="0"/>
          <c:showSerName val="0"/>
          <c:showPercent val="0"/>
          <c:showBubbleSize val="0"/>
        </c:dLbls>
        <c:gapWidth val="182"/>
        <c:axId val="1222881823"/>
        <c:axId val="1222882783"/>
      </c:barChart>
      <c:catAx>
        <c:axId val="1222881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82783"/>
        <c:crosses val="autoZero"/>
        <c:auto val="1"/>
        <c:lblAlgn val="ctr"/>
        <c:lblOffset val="100"/>
        <c:noMultiLvlLbl val="0"/>
      </c:catAx>
      <c:valAx>
        <c:axId val="1222882783"/>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8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[Manaksia_Aluminium_Project.xlsx]Customer API'S!repeat cus</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API''S'!$B$35:$B$36</c:f>
              <c:strCache>
                <c:ptCount val="1"/>
                <c:pt idx="0">
                  <c:v>No</c:v>
                </c:pt>
              </c:strCache>
            </c:strRef>
          </c:tx>
          <c:spPr>
            <a:solidFill>
              <a:schemeClr val="accent1"/>
            </a:solidFill>
            <a:ln>
              <a:noFill/>
            </a:ln>
            <a:effectLst/>
          </c:spPr>
          <c:invertIfNegative val="0"/>
          <c:cat>
            <c:strRef>
              <c:f>'Customer API''S'!$A$37:$A$41</c:f>
              <c:strCache>
                <c:ptCount val="4"/>
                <c:pt idx="0">
                  <c:v>West</c:v>
                </c:pt>
                <c:pt idx="1">
                  <c:v>North</c:v>
                </c:pt>
                <c:pt idx="2">
                  <c:v>East</c:v>
                </c:pt>
                <c:pt idx="3">
                  <c:v>South</c:v>
                </c:pt>
              </c:strCache>
            </c:strRef>
          </c:cat>
          <c:val>
            <c:numRef>
              <c:f>'Customer API''S'!$B$37:$B$41</c:f>
              <c:numCache>
                <c:formatCode>0.00%</c:formatCode>
                <c:ptCount val="4"/>
                <c:pt idx="0">
                  <c:v>0.113496041890983</c:v>
                </c:pt>
                <c:pt idx="1">
                  <c:v>0.12255260822105495</c:v>
                </c:pt>
                <c:pt idx="2">
                  <c:v>0.1004992404312092</c:v>
                </c:pt>
                <c:pt idx="3">
                  <c:v>0.10130031815900294</c:v>
                </c:pt>
              </c:numCache>
            </c:numRef>
          </c:val>
          <c:extLst>
            <c:ext xmlns:c16="http://schemas.microsoft.com/office/drawing/2014/chart" uri="{C3380CC4-5D6E-409C-BE32-E72D297353CC}">
              <c16:uniqueId val="{00000000-31FE-49A7-B678-5E2F9EDE7932}"/>
            </c:ext>
          </c:extLst>
        </c:ser>
        <c:ser>
          <c:idx val="1"/>
          <c:order val="1"/>
          <c:tx>
            <c:strRef>
              <c:f>'Customer API''S'!$C$35:$C$36</c:f>
              <c:strCache>
                <c:ptCount val="1"/>
                <c:pt idx="0">
                  <c:v>Yes</c:v>
                </c:pt>
              </c:strCache>
            </c:strRef>
          </c:tx>
          <c:spPr>
            <a:solidFill>
              <a:schemeClr val="accent2"/>
            </a:solidFill>
            <a:ln>
              <a:noFill/>
            </a:ln>
            <a:effectLst/>
          </c:spPr>
          <c:invertIfNegative val="0"/>
          <c:cat>
            <c:strRef>
              <c:f>'Customer API''S'!$A$37:$A$41</c:f>
              <c:strCache>
                <c:ptCount val="4"/>
                <c:pt idx="0">
                  <c:v>West</c:v>
                </c:pt>
                <c:pt idx="1">
                  <c:v>North</c:v>
                </c:pt>
                <c:pt idx="2">
                  <c:v>East</c:v>
                </c:pt>
                <c:pt idx="3">
                  <c:v>South</c:v>
                </c:pt>
              </c:strCache>
            </c:strRef>
          </c:cat>
          <c:val>
            <c:numRef>
              <c:f>'Customer API''S'!$C$37:$C$41</c:f>
              <c:numCache>
                <c:formatCode>0.00%</c:formatCode>
                <c:ptCount val="4"/>
                <c:pt idx="0">
                  <c:v>0.15865180420084918</c:v>
                </c:pt>
                <c:pt idx="1">
                  <c:v>0.11311254844970929</c:v>
                </c:pt>
                <c:pt idx="2">
                  <c:v>0.15826587297846287</c:v>
                </c:pt>
                <c:pt idx="3">
                  <c:v>0.1321215656687286</c:v>
                </c:pt>
              </c:numCache>
            </c:numRef>
          </c:val>
          <c:extLst>
            <c:ext xmlns:c16="http://schemas.microsoft.com/office/drawing/2014/chart" uri="{C3380CC4-5D6E-409C-BE32-E72D297353CC}">
              <c16:uniqueId val="{00000001-31FE-49A7-B678-5E2F9EDE7932}"/>
            </c:ext>
          </c:extLst>
        </c:ser>
        <c:dLbls>
          <c:showLegendKey val="0"/>
          <c:showVal val="0"/>
          <c:showCatName val="0"/>
          <c:showSerName val="0"/>
          <c:showPercent val="0"/>
          <c:showBubbleSize val="0"/>
        </c:dLbls>
        <c:gapWidth val="219"/>
        <c:overlap val="-27"/>
        <c:axId val="1222899583"/>
        <c:axId val="1222901023"/>
      </c:barChart>
      <c:catAx>
        <c:axId val="12228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901023"/>
        <c:crosses val="autoZero"/>
        <c:auto val="1"/>
        <c:lblAlgn val="ctr"/>
        <c:lblOffset val="100"/>
        <c:noMultiLvlLbl val="0"/>
      </c:catAx>
      <c:valAx>
        <c:axId val="1222901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9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[Manaksia_Aluminium_Project.xlsx]Product APS'S!plant wise product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APS''S'!$B$7:$B$8</c:f>
              <c:strCache>
                <c:ptCount val="1"/>
                <c:pt idx="0">
                  <c:v>Haldia Plant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APS''S'!$A$9:$A$13</c:f>
              <c:strCache>
                <c:ptCount val="4"/>
                <c:pt idx="0">
                  <c:v>Aluminium Sheets &amp; Coils</c:v>
                </c:pt>
                <c:pt idx="1">
                  <c:v>Colour Coated Coils</c:v>
                </c:pt>
                <c:pt idx="2">
                  <c:v>Flooring Sheets</c:v>
                </c:pt>
                <c:pt idx="3">
                  <c:v>Roofing Sheets</c:v>
                </c:pt>
              </c:strCache>
            </c:strRef>
          </c:cat>
          <c:val>
            <c:numRef>
              <c:f>'Product APS''S'!$B$9:$B$13</c:f>
              <c:numCache>
                <c:formatCode>General</c:formatCode>
                <c:ptCount val="4"/>
                <c:pt idx="0">
                  <c:v>6</c:v>
                </c:pt>
                <c:pt idx="1">
                  <c:v>4</c:v>
                </c:pt>
                <c:pt idx="2">
                  <c:v>5</c:v>
                </c:pt>
                <c:pt idx="3">
                  <c:v>7</c:v>
                </c:pt>
              </c:numCache>
            </c:numRef>
          </c:val>
          <c:extLst>
            <c:ext xmlns:c16="http://schemas.microsoft.com/office/drawing/2014/chart" uri="{C3380CC4-5D6E-409C-BE32-E72D297353CC}">
              <c16:uniqueId val="{00000000-EE1A-44CD-B6CB-CFEED01B437C}"/>
            </c:ext>
          </c:extLst>
        </c:ser>
        <c:ser>
          <c:idx val="1"/>
          <c:order val="1"/>
          <c:tx>
            <c:strRef>
              <c:f>'Product APS''S'!$C$7:$C$8</c:f>
              <c:strCache>
                <c:ptCount val="1"/>
                <c:pt idx="0">
                  <c:v>Kolkata Plant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APS''S'!$A$9:$A$13</c:f>
              <c:strCache>
                <c:ptCount val="4"/>
                <c:pt idx="0">
                  <c:v>Aluminium Sheets &amp; Coils</c:v>
                </c:pt>
                <c:pt idx="1">
                  <c:v>Colour Coated Coils</c:v>
                </c:pt>
                <c:pt idx="2">
                  <c:v>Flooring Sheets</c:v>
                </c:pt>
                <c:pt idx="3">
                  <c:v>Roofing Sheets</c:v>
                </c:pt>
              </c:strCache>
            </c:strRef>
          </c:cat>
          <c:val>
            <c:numRef>
              <c:f>'Product APS''S'!$C$9:$C$13</c:f>
              <c:numCache>
                <c:formatCode>General</c:formatCode>
                <c:ptCount val="4"/>
                <c:pt idx="0">
                  <c:v>6</c:v>
                </c:pt>
                <c:pt idx="1">
                  <c:v>8</c:v>
                </c:pt>
                <c:pt idx="2">
                  <c:v>7</c:v>
                </c:pt>
                <c:pt idx="3">
                  <c:v>5</c:v>
                </c:pt>
              </c:numCache>
            </c:numRef>
          </c:val>
          <c:extLst>
            <c:ext xmlns:c16="http://schemas.microsoft.com/office/drawing/2014/chart" uri="{C3380CC4-5D6E-409C-BE32-E72D297353CC}">
              <c16:uniqueId val="{00000000-EAD5-48CE-90DF-CA4F561AAA4A}"/>
            </c:ext>
          </c:extLst>
        </c:ser>
        <c:dLbls>
          <c:dLblPos val="outEnd"/>
          <c:showLegendKey val="0"/>
          <c:showVal val="1"/>
          <c:showCatName val="0"/>
          <c:showSerName val="0"/>
          <c:showPercent val="0"/>
          <c:showBubbleSize val="0"/>
        </c:dLbls>
        <c:gapWidth val="219"/>
        <c:overlap val="-27"/>
        <c:axId val="938968047"/>
        <c:axId val="938968527"/>
      </c:barChart>
      <c:catAx>
        <c:axId val="93896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68527"/>
        <c:crosses val="autoZero"/>
        <c:auto val="1"/>
        <c:lblAlgn val="ctr"/>
        <c:lblOffset val="100"/>
        <c:noMultiLvlLbl val="0"/>
      </c:catAx>
      <c:valAx>
        <c:axId val="938968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6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[Manaksia_Aluminium_Project.xlsx]Product APS'S!product wise defect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333333333333333"/>
              <c:y val="0.1990740740740740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5"/>
              <c:y val="-0.1805555555555556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333333333333333"/>
              <c:y val="-0.2083333333333333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555555555555555"/>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'Product APS''S'!$B$16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0FA-4504-975B-1283872CA5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FA-4504-975B-1283872CA5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0FA-4504-975B-1283872CA5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90FA-4504-975B-1283872CA547}"/>
              </c:ext>
            </c:extLst>
          </c:dPt>
          <c:dLbls>
            <c:dLbl>
              <c:idx val="0"/>
              <c:layout>
                <c:manualLayout>
                  <c:x val="-0.13333333333333333"/>
                  <c:y val="0.1990740740740740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0FA-4504-975B-1283872CA547}"/>
                </c:ext>
              </c:extLst>
            </c:dLbl>
            <c:dLbl>
              <c:idx val="1"/>
              <c:layout>
                <c:manualLayout>
                  <c:x val="-0.15"/>
                  <c:y val="-0.1805555555555556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FA-4504-975B-1283872CA547}"/>
                </c:ext>
              </c:extLst>
            </c:dLbl>
            <c:dLbl>
              <c:idx val="2"/>
              <c:layout>
                <c:manualLayout>
                  <c:x val="0.13333333333333333"/>
                  <c:y val="-0.2083333333333333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0FA-4504-975B-1283872CA547}"/>
                </c:ext>
              </c:extLst>
            </c:dLbl>
            <c:dLbl>
              <c:idx val="3"/>
              <c:layout>
                <c:manualLayout>
                  <c:x val="0.1555555555555555"/>
                  <c:y val="0.13888888888888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0FA-4504-975B-1283872CA547}"/>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APS''S'!$A$17:$A$21</c:f>
              <c:strCache>
                <c:ptCount val="4"/>
                <c:pt idx="0">
                  <c:v>Aluminium Sheets &amp; Coils</c:v>
                </c:pt>
                <c:pt idx="1">
                  <c:v>Colour Coated Coils</c:v>
                </c:pt>
                <c:pt idx="2">
                  <c:v>Flooring Sheets</c:v>
                </c:pt>
                <c:pt idx="3">
                  <c:v>Roofing Sheets</c:v>
                </c:pt>
              </c:strCache>
            </c:strRef>
          </c:cat>
          <c:val>
            <c:numRef>
              <c:f>'Product APS''S'!$B$17:$B$21</c:f>
              <c:numCache>
                <c:formatCode>General</c:formatCode>
                <c:ptCount val="4"/>
                <c:pt idx="0">
                  <c:v>28.580000000000002</c:v>
                </c:pt>
                <c:pt idx="1">
                  <c:v>33.630000000000003</c:v>
                </c:pt>
                <c:pt idx="2">
                  <c:v>29.1</c:v>
                </c:pt>
                <c:pt idx="3">
                  <c:v>33.799999999999997</c:v>
                </c:pt>
              </c:numCache>
            </c:numRef>
          </c:val>
          <c:extLst>
            <c:ext xmlns:c16="http://schemas.microsoft.com/office/drawing/2014/chart" uri="{C3380CC4-5D6E-409C-BE32-E72D297353CC}">
              <c16:uniqueId val="{00000000-90FA-4504-975B-1283872CA54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roduct DB'!A1"/><Relationship Id="rId5" Type="http://schemas.openxmlformats.org/officeDocument/2006/relationships/hyperlink" Target="#'Customer DB'!A1"/><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Product DB'!A1"/><Relationship Id="rId3" Type="http://schemas.openxmlformats.org/officeDocument/2006/relationships/chart" Target="../charts/chart6.xml"/><Relationship Id="rId7" Type="http://schemas.openxmlformats.org/officeDocument/2006/relationships/hyperlink" Target="#'Customer DB'!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hyperlink" Target="#Dashboard!A1"/><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hyperlink" Target="#'Product DB'!A1"/><Relationship Id="rId4" Type="http://schemas.openxmlformats.org/officeDocument/2006/relationships/hyperlink" Target="#'Customer DB'!A1"/></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167639</xdr:colOff>
      <xdr:row>0</xdr:row>
      <xdr:rowOff>60962</xdr:rowOff>
    </xdr:from>
    <xdr:to>
      <xdr:col>16</xdr:col>
      <xdr:colOff>130097</xdr:colOff>
      <xdr:row>49</xdr:row>
      <xdr:rowOff>86413</xdr:rowOff>
    </xdr:to>
    <xdr:grpSp>
      <xdr:nvGrpSpPr>
        <xdr:cNvPr id="29" name="Group 28">
          <a:extLst>
            <a:ext uri="{FF2B5EF4-FFF2-40B4-BE49-F238E27FC236}">
              <a16:creationId xmlns:a16="http://schemas.microsoft.com/office/drawing/2014/main" id="{A381955E-7933-6387-A217-95614A07714E}"/>
            </a:ext>
          </a:extLst>
        </xdr:cNvPr>
        <xdr:cNvGrpSpPr/>
      </xdr:nvGrpSpPr>
      <xdr:grpSpPr>
        <a:xfrm>
          <a:off x="1310639" y="60962"/>
          <a:ext cx="8548897" cy="9215914"/>
          <a:chOff x="1310639" y="60962"/>
          <a:chExt cx="8548897" cy="9215914"/>
        </a:xfrm>
      </xdr:grpSpPr>
      <xdr:grpSp>
        <xdr:nvGrpSpPr>
          <xdr:cNvPr id="15" name="Group 14">
            <a:extLst>
              <a:ext uri="{FF2B5EF4-FFF2-40B4-BE49-F238E27FC236}">
                <a16:creationId xmlns:a16="http://schemas.microsoft.com/office/drawing/2014/main" id="{627E0F64-2109-7339-0FF3-D370169A2520}"/>
              </a:ext>
            </a:extLst>
          </xdr:cNvPr>
          <xdr:cNvGrpSpPr/>
        </xdr:nvGrpSpPr>
        <xdr:grpSpPr>
          <a:xfrm>
            <a:off x="1310639" y="60962"/>
            <a:ext cx="8548897" cy="747502"/>
            <a:chOff x="1310639" y="60962"/>
            <a:chExt cx="8548897" cy="747502"/>
          </a:xfrm>
        </xdr:grpSpPr>
        <xdr:sp macro="" textlink="">
          <xdr:nvSpPr>
            <xdr:cNvPr id="4" name="Rectangle: Rounded Corners 3">
              <a:extLst>
                <a:ext uri="{FF2B5EF4-FFF2-40B4-BE49-F238E27FC236}">
                  <a16:creationId xmlns:a16="http://schemas.microsoft.com/office/drawing/2014/main" id="{CAEDBE50-0C6E-AAE0-BC65-108CBC702927}"/>
                </a:ext>
              </a:extLst>
            </xdr:cNvPr>
            <xdr:cNvSpPr/>
          </xdr:nvSpPr>
          <xdr:spPr>
            <a:xfrm>
              <a:off x="1310639" y="60962"/>
              <a:ext cx="8548897" cy="747502"/>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500CABBD-09C5-2C0F-32D7-FA56944D9FFC}"/>
                </a:ext>
              </a:extLst>
            </xdr:cNvPr>
            <xdr:cNvSpPr txBox="1"/>
          </xdr:nvSpPr>
          <xdr:spPr>
            <a:xfrm>
              <a:off x="1608376" y="190499"/>
              <a:ext cx="8148941" cy="50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mj-lt"/>
                </a:rPr>
                <a:t>Manaksia Aluminium Business Performance Dashboard</a:t>
              </a:r>
            </a:p>
          </xdr:txBody>
        </xdr:sp>
      </xdr:grpSp>
      <xdr:grpSp>
        <xdr:nvGrpSpPr>
          <xdr:cNvPr id="27" name="Group 26">
            <a:extLst>
              <a:ext uri="{FF2B5EF4-FFF2-40B4-BE49-F238E27FC236}">
                <a16:creationId xmlns:a16="http://schemas.microsoft.com/office/drawing/2014/main" id="{86A3B635-E642-0310-BF9E-3EC83EF90B72}"/>
              </a:ext>
            </a:extLst>
          </xdr:cNvPr>
          <xdr:cNvGrpSpPr/>
        </xdr:nvGrpSpPr>
        <xdr:grpSpPr>
          <a:xfrm>
            <a:off x="1346835" y="1572368"/>
            <a:ext cx="8449279" cy="901530"/>
            <a:chOff x="1356360" y="1821180"/>
            <a:chExt cx="8397240" cy="882015"/>
          </a:xfrm>
        </xdr:grpSpPr>
        <xdr:grpSp>
          <xdr:nvGrpSpPr>
            <xdr:cNvPr id="8" name="Group 7">
              <a:extLst>
                <a:ext uri="{FF2B5EF4-FFF2-40B4-BE49-F238E27FC236}">
                  <a16:creationId xmlns:a16="http://schemas.microsoft.com/office/drawing/2014/main" id="{D91C3DB6-B663-618C-0CCA-CE060F35A1F5}"/>
                </a:ext>
              </a:extLst>
            </xdr:cNvPr>
            <xdr:cNvGrpSpPr/>
          </xdr:nvGrpSpPr>
          <xdr:grpSpPr>
            <a:xfrm>
              <a:off x="1356360" y="1866412"/>
              <a:ext cx="1920240" cy="829245"/>
              <a:chOff x="2682240" y="1264920"/>
              <a:chExt cx="1920240" cy="838200"/>
            </a:xfrm>
          </xdr:grpSpPr>
          <xdr:sp macro="" textlink="">
            <xdr:nvSpPr>
              <xdr:cNvPr id="6" name="Rectangle: Rounded Corners 5">
                <a:extLst>
                  <a:ext uri="{FF2B5EF4-FFF2-40B4-BE49-F238E27FC236}">
                    <a16:creationId xmlns:a16="http://schemas.microsoft.com/office/drawing/2014/main" id="{ACA02D75-2E1B-00BE-34D8-3C980BCBC5B3}"/>
                  </a:ext>
                </a:extLst>
              </xdr:cNvPr>
              <xdr:cNvSpPr/>
            </xdr:nvSpPr>
            <xdr:spPr>
              <a:xfrm>
                <a:off x="2682240" y="1264920"/>
                <a:ext cx="1920240" cy="838200"/>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7" name="TextBox 6">
                <a:extLst>
                  <a:ext uri="{FF2B5EF4-FFF2-40B4-BE49-F238E27FC236}">
                    <a16:creationId xmlns:a16="http://schemas.microsoft.com/office/drawing/2014/main" id="{3B35085A-CEF4-7FC2-768A-5A14DD160A95}"/>
                  </a:ext>
                </a:extLst>
              </xdr:cNvPr>
              <xdr:cNvSpPr txBox="1"/>
            </xdr:nvSpPr>
            <xdr:spPr>
              <a:xfrm>
                <a:off x="2827020" y="135636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Total Revenue  </a:t>
                </a:r>
              </a:p>
              <a:p>
                <a:pPr algn="ctr"/>
                <a:r>
                  <a:rPr lang="en-IN" sz="1100" b="0" i="0" u="none" strike="noStrike">
                    <a:solidFill>
                      <a:schemeClr val="dk1"/>
                    </a:solidFill>
                    <a:effectLst/>
                    <a:latin typeface="+mn-lt"/>
                    <a:ea typeface="+mn-ea"/>
                    <a:cs typeface="+mn-cs"/>
                  </a:rPr>
                  <a:t> </a:t>
                </a: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  7,49,50,835 </a:t>
                </a:r>
              </a:p>
            </xdr:txBody>
          </xdr:sp>
        </xdr:grpSp>
        <xdr:grpSp>
          <xdr:nvGrpSpPr>
            <xdr:cNvPr id="9" name="Group 8">
              <a:extLst>
                <a:ext uri="{FF2B5EF4-FFF2-40B4-BE49-F238E27FC236}">
                  <a16:creationId xmlns:a16="http://schemas.microsoft.com/office/drawing/2014/main" id="{E409812D-F2E7-4A9F-A1FC-2B8084F6138F}"/>
                </a:ext>
              </a:extLst>
            </xdr:cNvPr>
            <xdr:cNvGrpSpPr/>
          </xdr:nvGrpSpPr>
          <xdr:grpSpPr>
            <a:xfrm>
              <a:off x="3543300" y="1873950"/>
              <a:ext cx="1920240" cy="829245"/>
              <a:chOff x="2682240" y="1264920"/>
              <a:chExt cx="1920240" cy="838200"/>
            </a:xfrm>
          </xdr:grpSpPr>
          <xdr:sp macro="" textlink="">
            <xdr:nvSpPr>
              <xdr:cNvPr id="10" name="Rectangle: Rounded Corners 9">
                <a:extLst>
                  <a:ext uri="{FF2B5EF4-FFF2-40B4-BE49-F238E27FC236}">
                    <a16:creationId xmlns:a16="http://schemas.microsoft.com/office/drawing/2014/main" id="{8FD3FD4E-DA9C-9432-D9CA-8E16B2E5917F}"/>
                  </a:ext>
                </a:extLst>
              </xdr:cNvPr>
              <xdr:cNvSpPr/>
            </xdr:nvSpPr>
            <xdr:spPr>
              <a:xfrm>
                <a:off x="2682240" y="1264920"/>
                <a:ext cx="1920240" cy="838200"/>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1" name="TextBox 10">
                <a:extLst>
                  <a:ext uri="{FF2B5EF4-FFF2-40B4-BE49-F238E27FC236}">
                    <a16:creationId xmlns:a16="http://schemas.microsoft.com/office/drawing/2014/main" id="{BA808ACD-BE7B-047B-65AB-22ABA955C34F}"/>
                  </a:ext>
                </a:extLst>
              </xdr:cNvPr>
              <xdr:cNvSpPr txBox="1"/>
            </xdr:nvSpPr>
            <xdr:spPr>
              <a:xfrm>
                <a:off x="2827020" y="135636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Total Order  </a:t>
                </a:r>
              </a:p>
              <a:p>
                <a:pPr marL="0" indent="0"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78,659 </a:t>
                </a:r>
              </a:p>
            </xdr:txBody>
          </xdr:sp>
        </xdr:grpSp>
        <xdr:grpSp>
          <xdr:nvGrpSpPr>
            <xdr:cNvPr id="12" name="Group 11">
              <a:extLst>
                <a:ext uri="{FF2B5EF4-FFF2-40B4-BE49-F238E27FC236}">
                  <a16:creationId xmlns:a16="http://schemas.microsoft.com/office/drawing/2014/main" id="{CC4F59D3-74BD-44CA-9B91-A45407B63548}"/>
                </a:ext>
              </a:extLst>
            </xdr:cNvPr>
            <xdr:cNvGrpSpPr/>
          </xdr:nvGrpSpPr>
          <xdr:grpSpPr>
            <a:xfrm>
              <a:off x="7833360" y="1821180"/>
              <a:ext cx="1920240" cy="829245"/>
              <a:chOff x="2682240" y="1264920"/>
              <a:chExt cx="1920240" cy="838200"/>
            </a:xfrm>
          </xdr:grpSpPr>
          <xdr:sp macro="" textlink="">
            <xdr:nvSpPr>
              <xdr:cNvPr id="13" name="Rectangle: Rounded Corners 12">
                <a:extLst>
                  <a:ext uri="{FF2B5EF4-FFF2-40B4-BE49-F238E27FC236}">
                    <a16:creationId xmlns:a16="http://schemas.microsoft.com/office/drawing/2014/main" id="{FB232989-8DA5-0F1A-0283-218AC0BDC062}"/>
                  </a:ext>
                </a:extLst>
              </xdr:cNvPr>
              <xdr:cNvSpPr/>
            </xdr:nvSpPr>
            <xdr:spPr>
              <a:xfrm>
                <a:off x="2682240" y="1264920"/>
                <a:ext cx="1920240" cy="838200"/>
              </a:xfrm>
              <a:prstGeom prst="roundRect">
                <a:avLst/>
              </a:prstGeom>
              <a:effectLst>
                <a:glow rad="139700">
                  <a:schemeClr val="accent3">
                    <a:satMod val="175000"/>
                    <a:alpha val="40000"/>
                  </a:schemeClr>
                </a:glow>
                <a:outerShdw blurRad="40000" dist="23000" dir="5400000" rotWithShape="0">
                  <a:srgbClr val="000000">
                    <a:alpha val="3500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A4095150-0A39-CA7E-9D85-DF97FC646D3E}"/>
                  </a:ext>
                </a:extLst>
              </xdr:cNvPr>
              <xdr:cNvSpPr txBox="1"/>
            </xdr:nvSpPr>
            <xdr:spPr>
              <a:xfrm>
                <a:off x="2827020" y="135636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Total Profit  </a:t>
                </a:r>
              </a:p>
              <a:p>
                <a:pPr marL="0" indent="0"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 ₹</a:t>
                </a:r>
                <a:r>
                  <a:rPr lang="en-IN" sz="16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 </a:t>
                </a: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1,66,47,261 </a:t>
                </a:r>
              </a:p>
            </xdr:txBody>
          </xdr:sp>
        </xdr:grpSp>
        <xdr:grpSp>
          <xdr:nvGrpSpPr>
            <xdr:cNvPr id="19" name="Group 18">
              <a:extLst>
                <a:ext uri="{FF2B5EF4-FFF2-40B4-BE49-F238E27FC236}">
                  <a16:creationId xmlns:a16="http://schemas.microsoft.com/office/drawing/2014/main" id="{E22FE126-F49C-4C02-B801-FA951980F4A8}"/>
                </a:ext>
              </a:extLst>
            </xdr:cNvPr>
            <xdr:cNvGrpSpPr/>
          </xdr:nvGrpSpPr>
          <xdr:grpSpPr>
            <a:xfrm>
              <a:off x="5684520" y="1851334"/>
              <a:ext cx="1920240" cy="829245"/>
              <a:chOff x="2682240" y="1264920"/>
              <a:chExt cx="1920240" cy="838200"/>
            </a:xfrm>
          </xdr:grpSpPr>
          <xdr:sp macro="" textlink="">
            <xdr:nvSpPr>
              <xdr:cNvPr id="20" name="Rectangle: Rounded Corners 19">
                <a:extLst>
                  <a:ext uri="{FF2B5EF4-FFF2-40B4-BE49-F238E27FC236}">
                    <a16:creationId xmlns:a16="http://schemas.microsoft.com/office/drawing/2014/main" id="{CA0AEB63-2574-8571-6AC1-48AD66090A34}"/>
                  </a:ext>
                </a:extLst>
              </xdr:cNvPr>
              <xdr:cNvSpPr/>
            </xdr:nvSpPr>
            <xdr:spPr>
              <a:xfrm>
                <a:off x="2682240" y="1264920"/>
                <a:ext cx="1920240" cy="838200"/>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TextBox 20">
                <a:extLst>
                  <a:ext uri="{FF2B5EF4-FFF2-40B4-BE49-F238E27FC236}">
                    <a16:creationId xmlns:a16="http://schemas.microsoft.com/office/drawing/2014/main" id="{87C0DEB5-D14A-E1EF-F980-E43AA9F518B7}"/>
                  </a:ext>
                </a:extLst>
              </xdr:cNvPr>
              <xdr:cNvSpPr txBox="1"/>
            </xdr:nvSpPr>
            <xdr:spPr>
              <a:xfrm>
                <a:off x="2827020" y="135636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Total Cost</a:t>
                </a:r>
              </a:p>
              <a:p>
                <a:pPr marL="0" indent="0"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 ₹ 5,83,03,574 </a:t>
                </a:r>
              </a:p>
            </xdr:txBody>
          </xdr:sp>
        </xdr:grpSp>
      </xdr:grpSp>
      <xdr:graphicFrame macro="">
        <xdr:nvGraphicFramePr>
          <xdr:cNvPr id="28" name="Chart 27">
            <a:extLst>
              <a:ext uri="{FF2B5EF4-FFF2-40B4-BE49-F238E27FC236}">
                <a16:creationId xmlns:a16="http://schemas.microsoft.com/office/drawing/2014/main" id="{55A14A96-0063-45BE-8A59-823DFB632049}"/>
              </a:ext>
            </a:extLst>
          </xdr:cNvPr>
          <xdr:cNvGraphicFramePr>
            <a:graphicFrameLocks/>
          </xdr:cNvGraphicFramePr>
        </xdr:nvGraphicFramePr>
        <xdr:xfrm>
          <a:off x="5721137" y="3465389"/>
          <a:ext cx="4076686" cy="28393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1" name="Chart 30">
            <a:extLst>
              <a:ext uri="{FF2B5EF4-FFF2-40B4-BE49-F238E27FC236}">
                <a16:creationId xmlns:a16="http://schemas.microsoft.com/office/drawing/2014/main" id="{3C01428B-B450-46C8-9D82-2656E4B32001}"/>
              </a:ext>
            </a:extLst>
          </xdr:cNvPr>
          <xdr:cNvGraphicFramePr>
            <a:graphicFrameLocks/>
          </xdr:cNvGraphicFramePr>
        </xdr:nvGraphicFramePr>
        <xdr:xfrm>
          <a:off x="1361045" y="7287475"/>
          <a:ext cx="8429326" cy="1989401"/>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32" name="Product_Category 1">
                <a:extLst>
                  <a:ext uri="{FF2B5EF4-FFF2-40B4-BE49-F238E27FC236}">
                    <a16:creationId xmlns:a16="http://schemas.microsoft.com/office/drawing/2014/main" id="{89642161-91EF-473E-B56A-1FB88FA81D9A}"/>
                  </a:ext>
                </a:extLst>
              </xdr:cNvPr>
              <xdr:cNvGraphicFramePr/>
            </xdr:nvGraphicFramePr>
            <xdr:xfrm>
              <a:off x="1398408" y="6469531"/>
              <a:ext cx="8335058" cy="696279"/>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398408" y="6469531"/>
                <a:ext cx="8335058" cy="69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5" name="Chart 34">
            <a:extLst>
              <a:ext uri="{FF2B5EF4-FFF2-40B4-BE49-F238E27FC236}">
                <a16:creationId xmlns:a16="http://schemas.microsoft.com/office/drawing/2014/main" id="{96B20590-B8AD-4E86-9D9E-7337C0B4403D}"/>
              </a:ext>
            </a:extLst>
          </xdr:cNvPr>
          <xdr:cNvGraphicFramePr>
            <a:graphicFrameLocks/>
          </xdr:cNvGraphicFramePr>
        </xdr:nvGraphicFramePr>
        <xdr:xfrm>
          <a:off x="1357923" y="3438770"/>
          <a:ext cx="4224835" cy="284641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6" name="TextBox 25">
            <a:extLst>
              <a:ext uri="{FF2B5EF4-FFF2-40B4-BE49-F238E27FC236}">
                <a16:creationId xmlns:a16="http://schemas.microsoft.com/office/drawing/2014/main" id="{BB8F2389-1907-CC18-F119-892562186BCD}"/>
              </a:ext>
            </a:extLst>
          </xdr:cNvPr>
          <xdr:cNvSpPr txBox="1"/>
        </xdr:nvSpPr>
        <xdr:spPr>
          <a:xfrm>
            <a:off x="2427029" y="3545499"/>
            <a:ext cx="2211425" cy="39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u="none" cap="none" spc="0">
                <a:ln w="0"/>
                <a:solidFill>
                  <a:schemeClr val="tx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rPr>
              <a:t>Month Wish Sales</a:t>
            </a:r>
          </a:p>
        </xdr:txBody>
      </xdr:sp>
      <xdr:sp macro="" textlink="">
        <xdr:nvSpPr>
          <xdr:cNvPr id="2" name="TextBox 1">
            <a:extLst>
              <a:ext uri="{FF2B5EF4-FFF2-40B4-BE49-F238E27FC236}">
                <a16:creationId xmlns:a16="http://schemas.microsoft.com/office/drawing/2014/main" id="{6CBCD62E-FD8B-18CA-EE29-4A4E52890310}"/>
              </a:ext>
            </a:extLst>
          </xdr:cNvPr>
          <xdr:cNvSpPr txBox="1"/>
        </xdr:nvSpPr>
        <xdr:spPr>
          <a:xfrm>
            <a:off x="6536779" y="3545498"/>
            <a:ext cx="2219049" cy="39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u="none" cap="none" spc="0">
                <a:ln w="0"/>
                <a:solidFill>
                  <a:schemeClr val="tx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rPr>
              <a:t>Month Wish Sales</a:t>
            </a:r>
          </a:p>
        </xdr:txBody>
      </xdr:sp>
      <mc:AlternateContent xmlns:mc="http://schemas.openxmlformats.org/markup-compatibility/2006" xmlns:a14="http://schemas.microsoft.com/office/drawing/2010/main">
        <mc:Choice Requires="a14">
          <xdr:graphicFrame macro="">
            <xdr:nvGraphicFramePr>
              <xdr:cNvPr id="3" name="Months (Date) 1">
                <a:extLst>
                  <a:ext uri="{FF2B5EF4-FFF2-40B4-BE49-F238E27FC236}">
                    <a16:creationId xmlns:a16="http://schemas.microsoft.com/office/drawing/2014/main" id="{3B80D429-227F-4872-BC27-1FA60CF56064}"/>
                  </a:ext>
                </a:extLst>
              </xdr:cNvPr>
              <xdr:cNvGraphicFramePr/>
            </xdr:nvGraphicFramePr>
            <xdr:xfrm>
              <a:off x="1396998" y="2587656"/>
              <a:ext cx="8342210" cy="714106"/>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396998" y="2587656"/>
                <a:ext cx="8342210" cy="714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5" name="Group 24">
            <a:extLst>
              <a:ext uri="{FF2B5EF4-FFF2-40B4-BE49-F238E27FC236}">
                <a16:creationId xmlns:a16="http://schemas.microsoft.com/office/drawing/2014/main" id="{B3238093-C906-42F5-B6A5-A05C26632D1D}"/>
              </a:ext>
            </a:extLst>
          </xdr:cNvPr>
          <xdr:cNvGrpSpPr/>
        </xdr:nvGrpSpPr>
        <xdr:grpSpPr>
          <a:xfrm>
            <a:off x="2062976" y="908824"/>
            <a:ext cx="7116336" cy="578006"/>
            <a:chOff x="2062976" y="908824"/>
            <a:chExt cx="7116336" cy="578006"/>
          </a:xfrm>
        </xdr:grpSpPr>
        <xdr:sp macro="" textlink="">
          <xdr:nvSpPr>
            <xdr:cNvPr id="16" name="Rectangle: Rounded Corners 15">
              <a:extLst>
                <a:ext uri="{FF2B5EF4-FFF2-40B4-BE49-F238E27FC236}">
                  <a16:creationId xmlns:a16="http://schemas.microsoft.com/office/drawing/2014/main" id="{E9BB9503-2C31-593F-52CE-07732201E07F}"/>
                </a:ext>
              </a:extLst>
            </xdr:cNvPr>
            <xdr:cNvSpPr/>
          </xdr:nvSpPr>
          <xdr:spPr>
            <a:xfrm>
              <a:off x="2062976" y="957147"/>
              <a:ext cx="2025805" cy="529683"/>
            </a:xfrm>
            <a:prstGeom prst="roundRect">
              <a:avLst/>
            </a:prstGeom>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5449536B-455B-4EB4-A4DD-0EDD79B228BE}"/>
                </a:ext>
              </a:extLst>
            </xdr:cNvPr>
            <xdr:cNvSpPr/>
          </xdr:nvSpPr>
          <xdr:spPr>
            <a:xfrm>
              <a:off x="4631473" y="923693"/>
              <a:ext cx="2025805" cy="52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4CEDD692-9A41-4486-9946-95FCF3EC7D3C}"/>
                </a:ext>
              </a:extLst>
            </xdr:cNvPr>
            <xdr:cNvSpPr/>
          </xdr:nvSpPr>
          <xdr:spPr>
            <a:xfrm>
              <a:off x="7153507" y="908824"/>
              <a:ext cx="2025805" cy="52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hlinkClick xmlns:r="http://schemas.openxmlformats.org/officeDocument/2006/relationships" r:id="rId4"/>
              <a:extLst>
                <a:ext uri="{FF2B5EF4-FFF2-40B4-BE49-F238E27FC236}">
                  <a16:creationId xmlns:a16="http://schemas.microsoft.com/office/drawing/2014/main" id="{6B06B8CF-4081-F03F-61EE-EADAA38170D3}"/>
                </a:ext>
              </a:extLst>
            </xdr:cNvPr>
            <xdr:cNvSpPr txBox="1"/>
          </xdr:nvSpPr>
          <xdr:spPr>
            <a:xfrm>
              <a:off x="2174488" y="994317"/>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Sales Data</a:t>
              </a:r>
            </a:p>
          </xdr:txBody>
        </xdr:sp>
        <xdr:sp macro="" textlink="">
          <xdr:nvSpPr>
            <xdr:cNvPr id="23" name="TextBox 22">
              <a:hlinkClick xmlns:r="http://schemas.openxmlformats.org/officeDocument/2006/relationships" r:id="rId5"/>
              <a:extLst>
                <a:ext uri="{FF2B5EF4-FFF2-40B4-BE49-F238E27FC236}">
                  <a16:creationId xmlns:a16="http://schemas.microsoft.com/office/drawing/2014/main" id="{2A853566-3DA4-F3A8-0326-B0F2E556F73D}"/>
                </a:ext>
              </a:extLst>
            </xdr:cNvPr>
            <xdr:cNvSpPr txBox="1"/>
          </xdr:nvSpPr>
          <xdr:spPr>
            <a:xfrm>
              <a:off x="4767147" y="947854"/>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Customer</a:t>
              </a:r>
            </a:p>
          </xdr:txBody>
        </xdr:sp>
        <xdr:sp macro="" textlink="">
          <xdr:nvSpPr>
            <xdr:cNvPr id="24" name="TextBox 23">
              <a:hlinkClick xmlns:r="http://schemas.openxmlformats.org/officeDocument/2006/relationships" r:id="rId6"/>
              <a:extLst>
                <a:ext uri="{FF2B5EF4-FFF2-40B4-BE49-F238E27FC236}">
                  <a16:creationId xmlns:a16="http://schemas.microsoft.com/office/drawing/2014/main" id="{EE2C3339-A6D1-99A7-E602-B81C0C6C21B0}"/>
                </a:ext>
              </a:extLst>
            </xdr:cNvPr>
            <xdr:cNvSpPr txBox="1"/>
          </xdr:nvSpPr>
          <xdr:spPr>
            <a:xfrm>
              <a:off x="7294757" y="929269"/>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Product</a:t>
              </a: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182881</xdr:colOff>
      <xdr:row>0</xdr:row>
      <xdr:rowOff>91440</xdr:rowOff>
    </xdr:from>
    <xdr:to>
      <xdr:col>13</xdr:col>
      <xdr:colOff>571500</xdr:colOff>
      <xdr:row>47</xdr:row>
      <xdr:rowOff>68580</xdr:rowOff>
    </xdr:to>
    <xdr:grpSp>
      <xdr:nvGrpSpPr>
        <xdr:cNvPr id="69" name="Group 68">
          <a:extLst>
            <a:ext uri="{FF2B5EF4-FFF2-40B4-BE49-F238E27FC236}">
              <a16:creationId xmlns:a16="http://schemas.microsoft.com/office/drawing/2014/main" id="{6EA1CF4F-1AF0-9864-B4E0-BA0ABD8D6581}"/>
            </a:ext>
          </a:extLst>
        </xdr:cNvPr>
        <xdr:cNvGrpSpPr/>
      </xdr:nvGrpSpPr>
      <xdr:grpSpPr>
        <a:xfrm>
          <a:off x="1408707" y="91440"/>
          <a:ext cx="7130663" cy="8541357"/>
          <a:chOff x="1409088" y="91440"/>
          <a:chExt cx="7132757" cy="8621899"/>
        </a:xfrm>
      </xdr:grpSpPr>
      <xdr:grpSp>
        <xdr:nvGrpSpPr>
          <xdr:cNvPr id="2" name="Group 1">
            <a:extLst>
              <a:ext uri="{FF2B5EF4-FFF2-40B4-BE49-F238E27FC236}">
                <a16:creationId xmlns:a16="http://schemas.microsoft.com/office/drawing/2014/main" id="{7C06E508-3C94-4807-BE63-34A8377AD4F8}"/>
              </a:ext>
            </a:extLst>
          </xdr:cNvPr>
          <xdr:cNvGrpSpPr/>
        </xdr:nvGrpSpPr>
        <xdr:grpSpPr>
          <a:xfrm>
            <a:off x="1409088" y="91440"/>
            <a:ext cx="2996936" cy="858695"/>
            <a:chOff x="1310639" y="60962"/>
            <a:chExt cx="8548897" cy="747502"/>
          </a:xfrm>
        </xdr:grpSpPr>
        <xdr:sp macro="" textlink="">
          <xdr:nvSpPr>
            <xdr:cNvPr id="3" name="Rectangle: Rounded Corners 2">
              <a:extLst>
                <a:ext uri="{FF2B5EF4-FFF2-40B4-BE49-F238E27FC236}">
                  <a16:creationId xmlns:a16="http://schemas.microsoft.com/office/drawing/2014/main" id="{36B2712C-35BF-0097-240C-9FBCD81EA5DB}"/>
                </a:ext>
              </a:extLst>
            </xdr:cNvPr>
            <xdr:cNvSpPr/>
          </xdr:nvSpPr>
          <xdr:spPr>
            <a:xfrm>
              <a:off x="1310639" y="60962"/>
              <a:ext cx="8548897" cy="747502"/>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B68305CC-3357-9C29-E7D5-C29054BC49DA}"/>
                </a:ext>
              </a:extLst>
            </xdr:cNvPr>
            <xdr:cNvSpPr txBox="1"/>
          </xdr:nvSpPr>
          <xdr:spPr>
            <a:xfrm>
              <a:off x="2372025" y="185007"/>
              <a:ext cx="6809721" cy="456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mj-lt"/>
                </a:rPr>
                <a:t>Customer</a:t>
              </a:r>
              <a:r>
                <a:rPr lang="en-IN" sz="24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mj-lt"/>
                </a:rPr>
                <a:t> Data</a:t>
              </a:r>
              <a:endPar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mj-lt"/>
              </a:endParaRPr>
            </a:p>
          </xdr:txBody>
        </xdr:sp>
      </xdr:grpSp>
      <xdr:grpSp>
        <xdr:nvGrpSpPr>
          <xdr:cNvPr id="33" name="Group 32">
            <a:extLst>
              <a:ext uri="{FF2B5EF4-FFF2-40B4-BE49-F238E27FC236}">
                <a16:creationId xmlns:a16="http://schemas.microsoft.com/office/drawing/2014/main" id="{9B048287-DF15-951B-8FB1-355B3AC9BE8C}"/>
              </a:ext>
            </a:extLst>
          </xdr:cNvPr>
          <xdr:cNvGrpSpPr/>
        </xdr:nvGrpSpPr>
        <xdr:grpSpPr>
          <a:xfrm>
            <a:off x="1454807" y="1662657"/>
            <a:ext cx="3438897" cy="2329435"/>
            <a:chOff x="1447800" y="1653198"/>
            <a:chExt cx="3421380" cy="2316822"/>
          </a:xfrm>
        </xdr:grpSpPr>
        <xdr:grpSp>
          <xdr:nvGrpSpPr>
            <xdr:cNvPr id="32" name="Group 31">
              <a:extLst>
                <a:ext uri="{FF2B5EF4-FFF2-40B4-BE49-F238E27FC236}">
                  <a16:creationId xmlns:a16="http://schemas.microsoft.com/office/drawing/2014/main" id="{7809F95E-70F8-689E-BBB7-F7FFAAB64763}"/>
                </a:ext>
              </a:extLst>
            </xdr:cNvPr>
            <xdr:cNvGrpSpPr/>
          </xdr:nvGrpSpPr>
          <xdr:grpSpPr>
            <a:xfrm>
              <a:off x="1447800" y="1653198"/>
              <a:ext cx="3398520" cy="343241"/>
              <a:chOff x="1447800" y="1653198"/>
              <a:chExt cx="3398520" cy="343241"/>
            </a:xfrm>
          </xdr:grpSpPr>
          <xdr:sp macro="" textlink="">
            <xdr:nvSpPr>
              <xdr:cNvPr id="18" name="Rectangle: Rounded Corners 17">
                <a:extLst>
                  <a:ext uri="{FF2B5EF4-FFF2-40B4-BE49-F238E27FC236}">
                    <a16:creationId xmlns:a16="http://schemas.microsoft.com/office/drawing/2014/main" id="{66919BC5-F221-C369-E0D3-1F3871E1D400}"/>
                  </a:ext>
                </a:extLst>
              </xdr:cNvPr>
              <xdr:cNvSpPr/>
            </xdr:nvSpPr>
            <xdr:spPr>
              <a:xfrm>
                <a:off x="1447800" y="1653199"/>
                <a:ext cx="3398520" cy="31242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56B13794-8750-DE6E-9213-14466834BBD7}"/>
                  </a:ext>
                </a:extLst>
              </xdr:cNvPr>
              <xdr:cNvSpPr txBox="1"/>
            </xdr:nvSpPr>
            <xdr:spPr>
              <a:xfrm>
                <a:off x="2065020" y="1653198"/>
                <a:ext cx="2499360" cy="343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Region</a:t>
                </a:r>
                <a:r>
                  <a:rPr lang="en-IN" sz="15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 wise Total Sales</a:t>
                </a:r>
                <a:endParaRPr lang="en-IN" sz="15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endParaRPr>
              </a:p>
            </xdr:txBody>
          </xdr:sp>
        </xdr:grpSp>
        <xdr:graphicFrame macro="">
          <xdr:nvGraphicFramePr>
            <xdr:cNvPr id="31" name="Chart 30">
              <a:extLst>
                <a:ext uri="{FF2B5EF4-FFF2-40B4-BE49-F238E27FC236}">
                  <a16:creationId xmlns:a16="http://schemas.microsoft.com/office/drawing/2014/main" id="{9504FC9C-377C-4DF4-AB37-F2D8215B791E}"/>
                </a:ext>
              </a:extLst>
            </xdr:cNvPr>
            <xdr:cNvGraphicFramePr>
              <a:graphicFrameLocks/>
            </xdr:cNvGraphicFramePr>
          </xdr:nvGraphicFramePr>
          <xdr:xfrm>
            <a:off x="1447800" y="2004060"/>
            <a:ext cx="3421380" cy="1965960"/>
          </xdr:xfrm>
          <a:graphic>
            <a:graphicData uri="http://schemas.openxmlformats.org/drawingml/2006/chart">
              <c:chart xmlns:c="http://schemas.openxmlformats.org/drawingml/2006/chart" xmlns:r="http://schemas.openxmlformats.org/officeDocument/2006/relationships" r:id="rId1"/>
            </a:graphicData>
          </a:graphic>
        </xdr:graphicFrame>
      </xdr:grpSp>
      <xdr:graphicFrame macro="">
        <xdr:nvGraphicFramePr>
          <xdr:cNvPr id="35" name="Chart 34">
            <a:extLst>
              <a:ext uri="{FF2B5EF4-FFF2-40B4-BE49-F238E27FC236}">
                <a16:creationId xmlns:a16="http://schemas.microsoft.com/office/drawing/2014/main" id="{1FB34A30-98AA-44AC-A689-9EE0EE25CE96}"/>
              </a:ext>
            </a:extLst>
          </xdr:cNvPr>
          <xdr:cNvGraphicFramePr>
            <a:graphicFrameLocks/>
          </xdr:cNvGraphicFramePr>
        </xdr:nvGraphicFramePr>
        <xdr:xfrm>
          <a:off x="5125808" y="2046101"/>
          <a:ext cx="3400797" cy="1930751"/>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39" name="Group 38">
            <a:extLst>
              <a:ext uri="{FF2B5EF4-FFF2-40B4-BE49-F238E27FC236}">
                <a16:creationId xmlns:a16="http://schemas.microsoft.com/office/drawing/2014/main" id="{6C11BA99-1278-8A1A-CDE9-7B0B8D381A5E}"/>
              </a:ext>
            </a:extLst>
          </xdr:cNvPr>
          <xdr:cNvGrpSpPr/>
        </xdr:nvGrpSpPr>
        <xdr:grpSpPr>
          <a:xfrm>
            <a:off x="5080088" y="1639088"/>
            <a:ext cx="3416037" cy="314522"/>
            <a:chOff x="5052060" y="1630680"/>
            <a:chExt cx="3398520" cy="312420"/>
          </a:xfrm>
        </xdr:grpSpPr>
        <xdr:sp macro="" textlink="">
          <xdr:nvSpPr>
            <xdr:cNvPr id="36" name="Rectangle: Rounded Corners 35">
              <a:extLst>
                <a:ext uri="{FF2B5EF4-FFF2-40B4-BE49-F238E27FC236}">
                  <a16:creationId xmlns:a16="http://schemas.microsoft.com/office/drawing/2014/main" id="{AEA95ED6-D6B8-459E-91BE-2C6997CBD584}"/>
                </a:ext>
              </a:extLst>
            </xdr:cNvPr>
            <xdr:cNvSpPr/>
          </xdr:nvSpPr>
          <xdr:spPr>
            <a:xfrm>
              <a:off x="5052060" y="1630680"/>
              <a:ext cx="3398520" cy="31242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4B4D9190-1165-3C03-4651-74E5571EA792}"/>
                </a:ext>
              </a:extLst>
            </xdr:cNvPr>
            <xdr:cNvSpPr txBox="1"/>
          </xdr:nvSpPr>
          <xdr:spPr>
            <a:xfrm>
              <a:off x="5341620" y="1661160"/>
              <a:ext cx="28041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Industry Wise Totael Sales</a:t>
              </a:r>
            </a:p>
          </xdr:txBody>
        </xdr:sp>
      </xdr:grpSp>
      <xdr:grpSp>
        <xdr:nvGrpSpPr>
          <xdr:cNvPr id="50" name="Group 49">
            <a:extLst>
              <a:ext uri="{FF2B5EF4-FFF2-40B4-BE49-F238E27FC236}">
                <a16:creationId xmlns:a16="http://schemas.microsoft.com/office/drawing/2014/main" id="{C19B57CD-3AEB-42B2-9F6C-082AD810E1D2}"/>
              </a:ext>
            </a:extLst>
          </xdr:cNvPr>
          <xdr:cNvGrpSpPr/>
        </xdr:nvGrpSpPr>
        <xdr:grpSpPr>
          <a:xfrm>
            <a:off x="1470047" y="4160783"/>
            <a:ext cx="3416037" cy="314522"/>
            <a:chOff x="5052060" y="1630680"/>
            <a:chExt cx="3398520" cy="312420"/>
          </a:xfrm>
        </xdr:grpSpPr>
        <xdr:sp macro="" textlink="">
          <xdr:nvSpPr>
            <xdr:cNvPr id="51" name="Rectangle: Rounded Corners 50">
              <a:extLst>
                <a:ext uri="{FF2B5EF4-FFF2-40B4-BE49-F238E27FC236}">
                  <a16:creationId xmlns:a16="http://schemas.microsoft.com/office/drawing/2014/main" id="{815B47D9-37D0-43A4-29F5-9AB064039E7D}"/>
                </a:ext>
              </a:extLst>
            </xdr:cNvPr>
            <xdr:cNvSpPr/>
          </xdr:nvSpPr>
          <xdr:spPr>
            <a:xfrm>
              <a:off x="5052060" y="1630680"/>
              <a:ext cx="3398520" cy="31242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E41F56FA-BFC8-35FB-7D3B-B515626FB695}"/>
                </a:ext>
              </a:extLst>
            </xdr:cNvPr>
            <xdr:cNvSpPr txBox="1"/>
          </xdr:nvSpPr>
          <xdr:spPr>
            <a:xfrm>
              <a:off x="5166360" y="1684020"/>
              <a:ext cx="32308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Industry Wise Total Revenue</a:t>
              </a:r>
            </a:p>
          </xdr:txBody>
        </xdr:sp>
      </xdr:grpSp>
      <xdr:grpSp>
        <xdr:nvGrpSpPr>
          <xdr:cNvPr id="53" name="Group 52">
            <a:extLst>
              <a:ext uri="{FF2B5EF4-FFF2-40B4-BE49-F238E27FC236}">
                <a16:creationId xmlns:a16="http://schemas.microsoft.com/office/drawing/2014/main" id="{B5720EAF-84B1-469A-B4AD-1E9559DFD5FB}"/>
              </a:ext>
            </a:extLst>
          </xdr:cNvPr>
          <xdr:cNvGrpSpPr/>
        </xdr:nvGrpSpPr>
        <xdr:grpSpPr>
          <a:xfrm>
            <a:off x="5118188" y="4153163"/>
            <a:ext cx="3416037" cy="314522"/>
            <a:chOff x="5052060" y="1630680"/>
            <a:chExt cx="3398520" cy="312420"/>
          </a:xfrm>
        </xdr:grpSpPr>
        <xdr:sp macro="" textlink="">
          <xdr:nvSpPr>
            <xdr:cNvPr id="54" name="Rectangle: Rounded Corners 53">
              <a:extLst>
                <a:ext uri="{FF2B5EF4-FFF2-40B4-BE49-F238E27FC236}">
                  <a16:creationId xmlns:a16="http://schemas.microsoft.com/office/drawing/2014/main" id="{60F86D1F-889A-726B-CF91-8743AF7FDACB}"/>
                </a:ext>
              </a:extLst>
            </xdr:cNvPr>
            <xdr:cNvSpPr/>
          </xdr:nvSpPr>
          <xdr:spPr>
            <a:xfrm>
              <a:off x="5052060" y="1630680"/>
              <a:ext cx="3398520" cy="31242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B6DE7FCD-05FF-235A-44A5-94FBCF9061B6}"/>
                </a:ext>
              </a:extLst>
            </xdr:cNvPr>
            <xdr:cNvSpPr txBox="1"/>
          </xdr:nvSpPr>
          <xdr:spPr>
            <a:xfrm>
              <a:off x="5334000" y="1661160"/>
              <a:ext cx="29641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Industry Wise Totael Revenue</a:t>
              </a:r>
            </a:p>
          </xdr:txBody>
        </xdr:sp>
      </xdr:grpSp>
      <xdr:graphicFrame macro="">
        <xdr:nvGraphicFramePr>
          <xdr:cNvPr id="56" name="Chart 55">
            <a:extLst>
              <a:ext uri="{FF2B5EF4-FFF2-40B4-BE49-F238E27FC236}">
                <a16:creationId xmlns:a16="http://schemas.microsoft.com/office/drawing/2014/main" id="{BDBC5469-F6B8-459F-A643-0A41E075D5EC}"/>
              </a:ext>
            </a:extLst>
          </xdr:cNvPr>
          <xdr:cNvGraphicFramePr>
            <a:graphicFrameLocks/>
          </xdr:cNvGraphicFramePr>
        </xdr:nvGraphicFramePr>
        <xdr:xfrm>
          <a:off x="1477667" y="4521025"/>
          <a:ext cx="3442401" cy="200038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7" name="Chart 56">
            <a:extLst>
              <a:ext uri="{FF2B5EF4-FFF2-40B4-BE49-F238E27FC236}">
                <a16:creationId xmlns:a16="http://schemas.microsoft.com/office/drawing/2014/main" id="{9E60D912-707E-49FE-ADE1-060C3D468A82}"/>
              </a:ext>
            </a:extLst>
          </xdr:cNvPr>
          <xdr:cNvGraphicFramePr>
            <a:graphicFrameLocks/>
          </xdr:cNvGraphicFramePr>
        </xdr:nvGraphicFramePr>
        <xdr:xfrm>
          <a:off x="5125808" y="4536265"/>
          <a:ext cx="3355077" cy="197752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8" name="Chart 57">
            <a:extLst>
              <a:ext uri="{FF2B5EF4-FFF2-40B4-BE49-F238E27FC236}">
                <a16:creationId xmlns:a16="http://schemas.microsoft.com/office/drawing/2014/main" id="{64AF0ED4-8335-4793-9FEB-4AA04FF63420}"/>
              </a:ext>
            </a:extLst>
          </xdr:cNvPr>
          <xdr:cNvGraphicFramePr>
            <a:graphicFrameLocks/>
          </xdr:cNvGraphicFramePr>
        </xdr:nvGraphicFramePr>
        <xdr:xfrm>
          <a:off x="1454807" y="6667237"/>
          <a:ext cx="7087038" cy="204610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0" name="TextBox 59">
            <a:extLst>
              <a:ext uri="{FF2B5EF4-FFF2-40B4-BE49-F238E27FC236}">
                <a16:creationId xmlns:a16="http://schemas.microsoft.com/office/drawing/2014/main" id="{516735B1-372A-E68F-9C87-54A494488423}"/>
              </a:ext>
            </a:extLst>
          </xdr:cNvPr>
          <xdr:cNvSpPr txBox="1"/>
        </xdr:nvSpPr>
        <xdr:spPr>
          <a:xfrm>
            <a:off x="3370317" y="6720577"/>
            <a:ext cx="3701481" cy="33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Repeat Customer wise Total Revenue</a:t>
            </a:r>
          </a:p>
        </xdr:txBody>
      </xdr:sp>
      <mc:AlternateContent xmlns:mc="http://schemas.openxmlformats.org/markup-compatibility/2006" xmlns:a14="http://schemas.microsoft.com/office/drawing/2010/main">
        <mc:Choice Requires="a14">
          <xdr:graphicFrame macro="">
            <xdr:nvGraphicFramePr>
              <xdr:cNvPr id="61" name="Region 1">
                <a:extLst>
                  <a:ext uri="{FF2B5EF4-FFF2-40B4-BE49-F238E27FC236}">
                    <a16:creationId xmlns:a16="http://schemas.microsoft.com/office/drawing/2014/main" id="{6046D939-2EC4-4DC3-80F0-9C97DEB60532}"/>
                  </a:ext>
                </a:extLst>
              </xdr:cNvPr>
              <xdr:cNvGraphicFramePr/>
            </xdr:nvGraphicFramePr>
            <xdr:xfrm>
              <a:off x="4710824" y="144780"/>
              <a:ext cx="3457641" cy="728104"/>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09474" y="144282"/>
                <a:ext cx="3456626" cy="721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62" name="Group 61">
            <a:extLst>
              <a:ext uri="{FF2B5EF4-FFF2-40B4-BE49-F238E27FC236}">
                <a16:creationId xmlns:a16="http://schemas.microsoft.com/office/drawing/2014/main" id="{A922B3CD-B648-4A4E-9189-0DDB4280608E}"/>
              </a:ext>
            </a:extLst>
          </xdr:cNvPr>
          <xdr:cNvGrpSpPr/>
        </xdr:nvGrpSpPr>
        <xdr:grpSpPr>
          <a:xfrm>
            <a:off x="1427914" y="998096"/>
            <a:ext cx="7057902" cy="607823"/>
            <a:chOff x="2062976" y="908824"/>
            <a:chExt cx="7116336" cy="578006"/>
          </a:xfrm>
        </xdr:grpSpPr>
        <xdr:sp macro="" textlink="">
          <xdr:nvSpPr>
            <xdr:cNvPr id="63" name="Rectangle: Rounded Corners 62">
              <a:extLst>
                <a:ext uri="{FF2B5EF4-FFF2-40B4-BE49-F238E27FC236}">
                  <a16:creationId xmlns:a16="http://schemas.microsoft.com/office/drawing/2014/main" id="{CDFE45FC-E4B9-F13D-86F5-1DAAC2F47282}"/>
                </a:ext>
              </a:extLst>
            </xdr:cNvPr>
            <xdr:cNvSpPr/>
          </xdr:nvSpPr>
          <xdr:spPr>
            <a:xfrm>
              <a:off x="2062976" y="957147"/>
              <a:ext cx="2025805" cy="52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Rectangle: Rounded Corners 63">
              <a:extLst>
                <a:ext uri="{FF2B5EF4-FFF2-40B4-BE49-F238E27FC236}">
                  <a16:creationId xmlns:a16="http://schemas.microsoft.com/office/drawing/2014/main" id="{16B42853-5F93-CBCD-C628-238011F13B64}"/>
                </a:ext>
              </a:extLst>
            </xdr:cNvPr>
            <xdr:cNvSpPr/>
          </xdr:nvSpPr>
          <xdr:spPr>
            <a:xfrm>
              <a:off x="4631473" y="923693"/>
              <a:ext cx="2025805" cy="529683"/>
            </a:xfrm>
            <a:prstGeom prst="roundRect">
              <a:avLst/>
            </a:prstGeom>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65" name="Rectangle: Rounded Corners 64">
              <a:extLst>
                <a:ext uri="{FF2B5EF4-FFF2-40B4-BE49-F238E27FC236}">
                  <a16:creationId xmlns:a16="http://schemas.microsoft.com/office/drawing/2014/main" id="{FC9B145C-88C4-2F5C-6FF1-A3F2255807AF}"/>
                </a:ext>
              </a:extLst>
            </xdr:cNvPr>
            <xdr:cNvSpPr/>
          </xdr:nvSpPr>
          <xdr:spPr>
            <a:xfrm>
              <a:off x="7153507" y="908824"/>
              <a:ext cx="2025805" cy="52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TextBox 65">
              <a:hlinkClick xmlns:r="http://schemas.openxmlformats.org/officeDocument/2006/relationships" r:id="rId6"/>
              <a:extLst>
                <a:ext uri="{FF2B5EF4-FFF2-40B4-BE49-F238E27FC236}">
                  <a16:creationId xmlns:a16="http://schemas.microsoft.com/office/drawing/2014/main" id="{145F3F34-F4EA-83CA-0608-859AA40E0353}"/>
                </a:ext>
              </a:extLst>
            </xdr:cNvPr>
            <xdr:cNvSpPr txBox="1"/>
          </xdr:nvSpPr>
          <xdr:spPr>
            <a:xfrm>
              <a:off x="2174488" y="994317"/>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Sales Data</a:t>
              </a:r>
            </a:p>
          </xdr:txBody>
        </xdr:sp>
        <xdr:sp macro="" textlink="">
          <xdr:nvSpPr>
            <xdr:cNvPr id="67" name="TextBox 66">
              <a:hlinkClick xmlns:r="http://schemas.openxmlformats.org/officeDocument/2006/relationships" r:id="rId7"/>
              <a:extLst>
                <a:ext uri="{FF2B5EF4-FFF2-40B4-BE49-F238E27FC236}">
                  <a16:creationId xmlns:a16="http://schemas.microsoft.com/office/drawing/2014/main" id="{CB2905A5-1251-18DA-98DB-2460814A70BD}"/>
                </a:ext>
              </a:extLst>
            </xdr:cNvPr>
            <xdr:cNvSpPr txBox="1"/>
          </xdr:nvSpPr>
          <xdr:spPr>
            <a:xfrm>
              <a:off x="4767147" y="947854"/>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Customer</a:t>
              </a:r>
            </a:p>
          </xdr:txBody>
        </xdr:sp>
        <xdr:sp macro="" textlink="">
          <xdr:nvSpPr>
            <xdr:cNvPr id="68" name="TextBox 67">
              <a:hlinkClick xmlns:r="http://schemas.openxmlformats.org/officeDocument/2006/relationships" r:id="rId8"/>
              <a:extLst>
                <a:ext uri="{FF2B5EF4-FFF2-40B4-BE49-F238E27FC236}">
                  <a16:creationId xmlns:a16="http://schemas.microsoft.com/office/drawing/2014/main" id="{26364C2C-6AF4-A4E0-31AD-169220652D5F}"/>
                </a:ext>
              </a:extLst>
            </xdr:cNvPr>
            <xdr:cNvSpPr txBox="1"/>
          </xdr:nvSpPr>
          <xdr:spPr>
            <a:xfrm>
              <a:off x="7294757" y="929269"/>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Product</a:t>
              </a: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510540</xdr:colOff>
      <xdr:row>0</xdr:row>
      <xdr:rowOff>144780</xdr:rowOff>
    </xdr:from>
    <xdr:to>
      <xdr:col>13</xdr:col>
      <xdr:colOff>220980</xdr:colOff>
      <xdr:row>31</xdr:row>
      <xdr:rowOff>129540</xdr:rowOff>
    </xdr:to>
    <xdr:grpSp>
      <xdr:nvGrpSpPr>
        <xdr:cNvPr id="28" name="Group 27">
          <a:extLst>
            <a:ext uri="{FF2B5EF4-FFF2-40B4-BE49-F238E27FC236}">
              <a16:creationId xmlns:a16="http://schemas.microsoft.com/office/drawing/2014/main" id="{6D3EDE31-6251-EF65-509A-021469796E84}"/>
            </a:ext>
          </a:extLst>
        </xdr:cNvPr>
        <xdr:cNvGrpSpPr/>
      </xdr:nvGrpSpPr>
      <xdr:grpSpPr>
        <a:xfrm>
          <a:off x="1120140" y="144780"/>
          <a:ext cx="7025640" cy="5654040"/>
          <a:chOff x="1120140" y="114300"/>
          <a:chExt cx="7025640" cy="5654040"/>
        </a:xfrm>
      </xdr:grpSpPr>
      <xdr:grpSp>
        <xdr:nvGrpSpPr>
          <xdr:cNvPr id="38" name="Group 37">
            <a:extLst>
              <a:ext uri="{FF2B5EF4-FFF2-40B4-BE49-F238E27FC236}">
                <a16:creationId xmlns:a16="http://schemas.microsoft.com/office/drawing/2014/main" id="{6F4F468E-5B55-00BD-D97D-9B7876982BAB}"/>
              </a:ext>
            </a:extLst>
          </xdr:cNvPr>
          <xdr:cNvGrpSpPr/>
        </xdr:nvGrpSpPr>
        <xdr:grpSpPr>
          <a:xfrm>
            <a:off x="1303020" y="2225381"/>
            <a:ext cx="6766560" cy="3542959"/>
            <a:chOff x="1226820" y="1082381"/>
            <a:chExt cx="6766560" cy="3542959"/>
          </a:xfrm>
        </xdr:grpSpPr>
        <xdr:grpSp>
          <xdr:nvGrpSpPr>
            <xdr:cNvPr id="24" name="Group 23">
              <a:extLst>
                <a:ext uri="{FF2B5EF4-FFF2-40B4-BE49-F238E27FC236}">
                  <a16:creationId xmlns:a16="http://schemas.microsoft.com/office/drawing/2014/main" id="{146B4A31-F55C-4827-E222-AD1E8C4CA568}"/>
                </a:ext>
              </a:extLst>
            </xdr:cNvPr>
            <xdr:cNvGrpSpPr/>
          </xdr:nvGrpSpPr>
          <xdr:grpSpPr>
            <a:xfrm>
              <a:off x="1242060" y="1082381"/>
              <a:ext cx="6645262" cy="878244"/>
              <a:chOff x="1242060" y="1082381"/>
              <a:chExt cx="6645262" cy="878244"/>
            </a:xfrm>
          </xdr:grpSpPr>
          <xdr:grpSp>
            <xdr:nvGrpSpPr>
              <xdr:cNvPr id="3" name="Group 2">
                <a:extLst>
                  <a:ext uri="{FF2B5EF4-FFF2-40B4-BE49-F238E27FC236}">
                    <a16:creationId xmlns:a16="http://schemas.microsoft.com/office/drawing/2014/main" id="{5F6BAE10-7166-9682-F0C0-A47B4148159D}"/>
                  </a:ext>
                </a:extLst>
              </xdr:cNvPr>
              <xdr:cNvGrpSpPr/>
            </xdr:nvGrpSpPr>
            <xdr:grpSpPr>
              <a:xfrm>
                <a:off x="1242060" y="1113033"/>
                <a:ext cx="1932140" cy="847592"/>
                <a:chOff x="2682240" y="1264920"/>
                <a:chExt cx="1920240" cy="838200"/>
              </a:xfrm>
            </xdr:grpSpPr>
            <xdr:sp macro="" textlink="">
              <xdr:nvSpPr>
                <xdr:cNvPr id="13" name="Rectangle: Rounded Corners 12">
                  <a:extLst>
                    <a:ext uri="{FF2B5EF4-FFF2-40B4-BE49-F238E27FC236}">
                      <a16:creationId xmlns:a16="http://schemas.microsoft.com/office/drawing/2014/main" id="{B5E8FB8B-122F-0459-2909-BF8673DDB631}"/>
                    </a:ext>
                  </a:extLst>
                </xdr:cNvPr>
                <xdr:cNvSpPr/>
              </xdr:nvSpPr>
              <xdr:spPr>
                <a:xfrm>
                  <a:off x="2682240" y="1264920"/>
                  <a:ext cx="1920240" cy="838200"/>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4" name="TextBox 13">
                  <a:extLst>
                    <a:ext uri="{FF2B5EF4-FFF2-40B4-BE49-F238E27FC236}">
                      <a16:creationId xmlns:a16="http://schemas.microsoft.com/office/drawing/2014/main" id="{FB9E2AA3-EE87-0D1A-44DF-0B8F808A750E}"/>
                    </a:ext>
                  </a:extLst>
                </xdr:cNvPr>
                <xdr:cNvSpPr txBox="1"/>
              </xdr:nvSpPr>
              <xdr:spPr>
                <a:xfrm>
                  <a:off x="2827020" y="135636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5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a:t>
                  </a:r>
                  <a:r>
                    <a:rPr lang="en-IN" sz="1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roduction Cost  ₹ 1,44,98,870 </a:t>
                  </a:r>
                </a:p>
              </xdr:txBody>
            </xdr:sp>
          </xdr:grpSp>
          <xdr:grpSp>
            <xdr:nvGrpSpPr>
              <xdr:cNvPr id="4" name="Group 3">
                <a:extLst>
                  <a:ext uri="{FF2B5EF4-FFF2-40B4-BE49-F238E27FC236}">
                    <a16:creationId xmlns:a16="http://schemas.microsoft.com/office/drawing/2014/main" id="{3CAE22AC-F85F-9114-7A29-EC9A6668D64F}"/>
                  </a:ext>
                </a:extLst>
              </xdr:cNvPr>
              <xdr:cNvGrpSpPr/>
            </xdr:nvGrpSpPr>
            <xdr:grpSpPr>
              <a:xfrm>
                <a:off x="3587333" y="1090258"/>
                <a:ext cx="1932140" cy="847592"/>
                <a:chOff x="2682240" y="1264920"/>
                <a:chExt cx="1920240" cy="838200"/>
              </a:xfrm>
            </xdr:grpSpPr>
            <xdr:sp macro="" textlink="">
              <xdr:nvSpPr>
                <xdr:cNvPr id="11" name="Rectangle: Rounded Corners 10">
                  <a:extLst>
                    <a:ext uri="{FF2B5EF4-FFF2-40B4-BE49-F238E27FC236}">
                      <a16:creationId xmlns:a16="http://schemas.microsoft.com/office/drawing/2014/main" id="{62E3D7E1-542C-2F78-EADD-E2F9E61A480C}"/>
                    </a:ext>
                  </a:extLst>
                </xdr:cNvPr>
                <xdr:cNvSpPr/>
              </xdr:nvSpPr>
              <xdr:spPr>
                <a:xfrm>
                  <a:off x="2682240" y="1264920"/>
                  <a:ext cx="1920240" cy="838200"/>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12" name="TextBox 11">
                  <a:extLst>
                    <a:ext uri="{FF2B5EF4-FFF2-40B4-BE49-F238E27FC236}">
                      <a16:creationId xmlns:a16="http://schemas.microsoft.com/office/drawing/2014/main" id="{AEC6C994-1BA8-710B-AFC6-91C370261555}"/>
                    </a:ext>
                  </a:extLst>
                </xdr:cNvPr>
                <xdr:cNvSpPr txBox="1"/>
              </xdr:nvSpPr>
              <xdr:spPr>
                <a:xfrm>
                  <a:off x="2759647" y="1339685"/>
                  <a:ext cx="1787244" cy="685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Defect Percentage </a:t>
                  </a:r>
                  <a:r>
                    <a:rPr lang="en-IN" sz="15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125.11  </a:t>
                  </a:r>
                </a:p>
              </xdr:txBody>
            </xdr:sp>
          </xdr:grpSp>
          <xdr:grpSp>
            <xdr:nvGrpSpPr>
              <xdr:cNvPr id="6" name="Group 5">
                <a:extLst>
                  <a:ext uri="{FF2B5EF4-FFF2-40B4-BE49-F238E27FC236}">
                    <a16:creationId xmlns:a16="http://schemas.microsoft.com/office/drawing/2014/main" id="{5C56C381-1896-7B08-3AC9-9C8E546DA68D}"/>
                  </a:ext>
                </a:extLst>
              </xdr:cNvPr>
              <xdr:cNvGrpSpPr/>
            </xdr:nvGrpSpPr>
            <xdr:grpSpPr>
              <a:xfrm>
                <a:off x="5955182" y="1082381"/>
                <a:ext cx="1932140" cy="847592"/>
                <a:chOff x="2682240" y="1264920"/>
                <a:chExt cx="1920240" cy="838200"/>
              </a:xfrm>
            </xdr:grpSpPr>
            <xdr:sp macro="" textlink="">
              <xdr:nvSpPr>
                <xdr:cNvPr id="7" name="Rectangle: Rounded Corners 6">
                  <a:extLst>
                    <a:ext uri="{FF2B5EF4-FFF2-40B4-BE49-F238E27FC236}">
                      <a16:creationId xmlns:a16="http://schemas.microsoft.com/office/drawing/2014/main" id="{40B7A4E3-2F99-744B-531A-9A2D7C2008DA}"/>
                    </a:ext>
                  </a:extLst>
                </xdr:cNvPr>
                <xdr:cNvSpPr/>
              </xdr:nvSpPr>
              <xdr:spPr>
                <a:xfrm>
                  <a:off x="2682240" y="1264920"/>
                  <a:ext cx="1920240" cy="838200"/>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TextBox 7">
                  <a:extLst>
                    <a:ext uri="{FF2B5EF4-FFF2-40B4-BE49-F238E27FC236}">
                      <a16:creationId xmlns:a16="http://schemas.microsoft.com/office/drawing/2014/main" id="{CF093E6C-753C-9978-E967-4B44B0627C74}"/>
                    </a:ext>
                  </a:extLst>
                </xdr:cNvPr>
                <xdr:cNvSpPr txBox="1"/>
              </xdr:nvSpPr>
              <xdr:spPr>
                <a:xfrm>
                  <a:off x="2827020" y="1356360"/>
                  <a:ext cx="1638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Product</a:t>
                  </a:r>
                </a:p>
                <a:p>
                  <a:pPr marL="0" indent="0" algn="ctr"/>
                  <a:r>
                    <a:rPr lang="en-IN" sz="16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48 </a:t>
                  </a:r>
                </a:p>
              </xdr:txBody>
            </xdr:sp>
          </xdr:grpSp>
        </xdr:grpSp>
        <xdr:graphicFrame macro="">
          <xdr:nvGraphicFramePr>
            <xdr:cNvPr id="16" name="Chart 15">
              <a:extLst>
                <a:ext uri="{FF2B5EF4-FFF2-40B4-BE49-F238E27FC236}">
                  <a16:creationId xmlns:a16="http://schemas.microsoft.com/office/drawing/2014/main" id="{2926C02A-387F-48DB-9C91-BA667AE689C8}"/>
                </a:ext>
              </a:extLst>
            </xdr:cNvPr>
            <xdr:cNvGraphicFramePr>
              <a:graphicFrameLocks/>
            </xdr:cNvGraphicFramePr>
          </xdr:nvGraphicFramePr>
          <xdr:xfrm>
            <a:off x="1226820" y="2446020"/>
            <a:ext cx="3383280" cy="217932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C6EB3BC5-0C83-4DE8-BA7C-64BC34C4B2F4}"/>
                </a:ext>
              </a:extLst>
            </xdr:cNvPr>
            <xdr:cNvGraphicFramePr>
              <a:graphicFrameLocks/>
            </xdr:cNvGraphicFramePr>
          </xdr:nvGraphicFramePr>
          <xdr:xfrm>
            <a:off x="4732020" y="2438400"/>
            <a:ext cx="3185160" cy="218694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8" name="Rectangle: Rounded Corners 17">
              <a:extLst>
                <a:ext uri="{FF2B5EF4-FFF2-40B4-BE49-F238E27FC236}">
                  <a16:creationId xmlns:a16="http://schemas.microsoft.com/office/drawing/2014/main" id="{768FA5AE-C6F7-D149-AF01-CF4F45F061CB}"/>
                </a:ext>
              </a:extLst>
            </xdr:cNvPr>
            <xdr:cNvSpPr/>
          </xdr:nvSpPr>
          <xdr:spPr>
            <a:xfrm>
              <a:off x="1226820" y="2065020"/>
              <a:ext cx="3398520" cy="31242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5A6A0A6A-19A6-DEB3-0EA4-97C3BC67F190}"/>
                </a:ext>
              </a:extLst>
            </xdr:cNvPr>
            <xdr:cNvSpPr txBox="1"/>
          </xdr:nvSpPr>
          <xdr:spPr>
            <a:xfrm>
              <a:off x="1851660" y="2049780"/>
              <a:ext cx="2286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Plant By Product Cost</a:t>
              </a:r>
            </a:p>
          </xdr:txBody>
        </xdr:sp>
        <xdr:sp macro="" textlink="">
          <xdr:nvSpPr>
            <xdr:cNvPr id="21" name="Rectangle: Rounded Corners 20">
              <a:extLst>
                <a:ext uri="{FF2B5EF4-FFF2-40B4-BE49-F238E27FC236}">
                  <a16:creationId xmlns:a16="http://schemas.microsoft.com/office/drawing/2014/main" id="{1C1ABACB-D0DC-0025-C4DB-791509B565FD}"/>
                </a:ext>
              </a:extLst>
            </xdr:cNvPr>
            <xdr:cNvSpPr/>
          </xdr:nvSpPr>
          <xdr:spPr>
            <a:xfrm>
              <a:off x="4693920" y="2057400"/>
              <a:ext cx="3299460" cy="32004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B7B19865-DE14-FB4D-732A-6887D37B2EC1}"/>
                </a:ext>
              </a:extLst>
            </xdr:cNvPr>
            <xdr:cNvSpPr txBox="1"/>
          </xdr:nvSpPr>
          <xdr:spPr>
            <a:xfrm>
              <a:off x="5166360" y="2057400"/>
              <a:ext cx="27051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Product Defect</a:t>
              </a:r>
              <a:r>
                <a:rPr lang="en-IN" sz="1400" b="1" cap="none" spc="0" baseline="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 </a:t>
              </a:r>
              <a:r>
                <a:rPr lang="en-IN" sz="1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Percentage</a:t>
              </a:r>
            </a:p>
          </xdr:txBody>
        </xdr:sp>
      </xdr:grpSp>
      <xdr:grpSp>
        <xdr:nvGrpSpPr>
          <xdr:cNvPr id="39" name="Group 38">
            <a:extLst>
              <a:ext uri="{FF2B5EF4-FFF2-40B4-BE49-F238E27FC236}">
                <a16:creationId xmlns:a16="http://schemas.microsoft.com/office/drawing/2014/main" id="{75B37033-C28B-4BB1-6C80-66138817F75D}"/>
              </a:ext>
            </a:extLst>
          </xdr:cNvPr>
          <xdr:cNvGrpSpPr/>
        </xdr:nvGrpSpPr>
        <xdr:grpSpPr>
          <a:xfrm>
            <a:off x="1120140" y="114300"/>
            <a:ext cx="7025640" cy="518160"/>
            <a:chOff x="1120141" y="114300"/>
            <a:chExt cx="6896100" cy="747502"/>
          </a:xfrm>
        </xdr:grpSpPr>
        <xdr:sp macro="" textlink="">
          <xdr:nvSpPr>
            <xdr:cNvPr id="15" name="Rectangle: Rounded Corners 14">
              <a:extLst>
                <a:ext uri="{FF2B5EF4-FFF2-40B4-BE49-F238E27FC236}">
                  <a16:creationId xmlns:a16="http://schemas.microsoft.com/office/drawing/2014/main" id="{8797D617-F3B7-4D9D-9407-F1680A635307}"/>
                </a:ext>
              </a:extLst>
            </xdr:cNvPr>
            <xdr:cNvSpPr/>
          </xdr:nvSpPr>
          <xdr:spPr>
            <a:xfrm>
              <a:off x="1120141" y="114300"/>
              <a:ext cx="6896100" cy="747502"/>
            </a:xfrm>
            <a:prstGeom prst="roundRect">
              <a:avLst/>
            </a:prstGeom>
            <a:effectLst>
              <a:glow rad="139700">
                <a:schemeClr val="accent1">
                  <a:satMod val="175000"/>
                  <a:alpha val="40000"/>
                </a:schemeClr>
              </a:glow>
              <a:outerShdw blurRad="40000" dist="23000" dir="5400000" rotWithShape="0">
                <a:srgbClr val="000000">
                  <a:alpha val="35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17513462-5313-CF2B-673F-C4947FD46772}"/>
                </a:ext>
              </a:extLst>
            </xdr:cNvPr>
            <xdr:cNvSpPr txBox="1"/>
          </xdr:nvSpPr>
          <xdr:spPr>
            <a:xfrm>
              <a:off x="2887980" y="180255"/>
              <a:ext cx="3310743" cy="574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mj-lt"/>
                  <a:ea typeface="+mn-ea"/>
                  <a:cs typeface="+mn-cs"/>
                </a:rPr>
                <a:t>Product DasBoard</a:t>
              </a:r>
            </a:p>
          </xdr:txBody>
        </xdr:sp>
      </xdr:grpSp>
      <mc:AlternateContent xmlns:mc="http://schemas.openxmlformats.org/markup-compatibility/2006" xmlns:a14="http://schemas.microsoft.com/office/drawing/2010/main">
        <mc:Choice Requires="a14">
          <xdr:graphicFrame macro="">
            <xdr:nvGraphicFramePr>
              <xdr:cNvPr id="40" name="Month 1">
                <a:extLst>
                  <a:ext uri="{FF2B5EF4-FFF2-40B4-BE49-F238E27FC236}">
                    <a16:creationId xmlns:a16="http://schemas.microsoft.com/office/drawing/2014/main" id="{F9AE5853-0574-4CBC-BF48-1480EDE19D41}"/>
                  </a:ext>
                </a:extLst>
              </xdr:cNvPr>
              <xdr:cNvGraphicFramePr/>
            </xdr:nvGraphicFramePr>
            <xdr:xfrm>
              <a:off x="1249680" y="1242060"/>
              <a:ext cx="6743700" cy="88392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49680" y="1272540"/>
                <a:ext cx="67437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 name="Group 4">
            <a:extLst>
              <a:ext uri="{FF2B5EF4-FFF2-40B4-BE49-F238E27FC236}">
                <a16:creationId xmlns:a16="http://schemas.microsoft.com/office/drawing/2014/main" id="{3F7A0DDE-A7E9-439B-BA37-3AE7EAD1520E}"/>
              </a:ext>
            </a:extLst>
          </xdr:cNvPr>
          <xdr:cNvGrpSpPr/>
        </xdr:nvGrpSpPr>
        <xdr:grpSpPr>
          <a:xfrm>
            <a:off x="1188720" y="662940"/>
            <a:ext cx="6903720" cy="518160"/>
            <a:chOff x="2062976" y="908824"/>
            <a:chExt cx="7116336" cy="578006"/>
          </a:xfrm>
        </xdr:grpSpPr>
        <xdr:sp macro="" textlink="">
          <xdr:nvSpPr>
            <xdr:cNvPr id="9" name="Rectangle: Rounded Corners 8">
              <a:extLst>
                <a:ext uri="{FF2B5EF4-FFF2-40B4-BE49-F238E27FC236}">
                  <a16:creationId xmlns:a16="http://schemas.microsoft.com/office/drawing/2014/main" id="{6097BCC0-B0CA-1CC5-F1D5-43CF61DD4D8C}"/>
                </a:ext>
              </a:extLst>
            </xdr:cNvPr>
            <xdr:cNvSpPr/>
          </xdr:nvSpPr>
          <xdr:spPr>
            <a:xfrm>
              <a:off x="2062976" y="957147"/>
              <a:ext cx="2025805" cy="52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667F03B-C26A-977C-35CF-C4011242B067}"/>
                </a:ext>
              </a:extLst>
            </xdr:cNvPr>
            <xdr:cNvSpPr/>
          </xdr:nvSpPr>
          <xdr:spPr>
            <a:xfrm>
              <a:off x="4631473" y="923693"/>
              <a:ext cx="2025805" cy="52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64C922D6-4314-07C6-1444-9E9B7CAB15E8}"/>
                </a:ext>
              </a:extLst>
            </xdr:cNvPr>
            <xdr:cNvSpPr/>
          </xdr:nvSpPr>
          <xdr:spPr>
            <a:xfrm>
              <a:off x="7153507" y="908824"/>
              <a:ext cx="2025805" cy="529683"/>
            </a:xfrm>
            <a:prstGeom prst="roundRect">
              <a:avLst/>
            </a:prstGeom>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sp macro="" textlink="">
          <xdr:nvSpPr>
            <xdr:cNvPr id="25" name="TextBox 24">
              <a:hlinkClick xmlns:r="http://schemas.openxmlformats.org/officeDocument/2006/relationships" r:id="rId3"/>
              <a:extLst>
                <a:ext uri="{FF2B5EF4-FFF2-40B4-BE49-F238E27FC236}">
                  <a16:creationId xmlns:a16="http://schemas.microsoft.com/office/drawing/2014/main" id="{2310AA47-B50D-710B-3BB5-8A746A1BC670}"/>
                </a:ext>
              </a:extLst>
            </xdr:cNvPr>
            <xdr:cNvSpPr txBox="1"/>
          </xdr:nvSpPr>
          <xdr:spPr>
            <a:xfrm>
              <a:off x="2174488" y="994317"/>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Sales Data</a:t>
              </a:r>
            </a:p>
          </xdr:txBody>
        </xdr:sp>
        <xdr:sp macro="" textlink="">
          <xdr:nvSpPr>
            <xdr:cNvPr id="26" name="TextBox 25">
              <a:hlinkClick xmlns:r="http://schemas.openxmlformats.org/officeDocument/2006/relationships" r:id="rId4"/>
              <a:extLst>
                <a:ext uri="{FF2B5EF4-FFF2-40B4-BE49-F238E27FC236}">
                  <a16:creationId xmlns:a16="http://schemas.microsoft.com/office/drawing/2014/main" id="{037B8927-B33B-930F-23D9-E56119C57D67}"/>
                </a:ext>
              </a:extLst>
            </xdr:cNvPr>
            <xdr:cNvSpPr txBox="1"/>
          </xdr:nvSpPr>
          <xdr:spPr>
            <a:xfrm>
              <a:off x="4767147" y="947854"/>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Customer</a:t>
              </a:r>
            </a:p>
          </xdr:txBody>
        </xdr:sp>
        <xdr:sp macro="" textlink="">
          <xdr:nvSpPr>
            <xdr:cNvPr id="27" name="TextBox 26">
              <a:hlinkClick xmlns:r="http://schemas.openxmlformats.org/officeDocument/2006/relationships" r:id="rId5"/>
              <a:extLst>
                <a:ext uri="{FF2B5EF4-FFF2-40B4-BE49-F238E27FC236}">
                  <a16:creationId xmlns:a16="http://schemas.microsoft.com/office/drawing/2014/main" id="{74B1388B-E608-30D6-EAE8-1527B48E654F}"/>
                </a:ext>
              </a:extLst>
            </xdr:cNvPr>
            <xdr:cNvSpPr txBox="1"/>
          </xdr:nvSpPr>
          <xdr:spPr>
            <a:xfrm>
              <a:off x="7294757" y="929269"/>
              <a:ext cx="1784195" cy="436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cap="none" spc="0">
                  <a:ln w="10160">
                    <a:solidFill>
                      <a:schemeClr val="tx1"/>
                    </a:solidFill>
                    <a:prstDash val="solid"/>
                  </a:ln>
                  <a:solidFill>
                    <a:srgbClr val="FFFFFF"/>
                  </a:solidFill>
                  <a:effectLst>
                    <a:outerShdw blurRad="38100" dist="22860" dir="5400000" algn="tl" rotWithShape="0">
                      <a:srgbClr val="000000">
                        <a:alpha val="30000"/>
                      </a:srgbClr>
                    </a:outerShdw>
                  </a:effectLst>
                  <a:latin typeface="Arial" panose="020B0604020202020204" pitchFamily="34" charset="0"/>
                  <a:ea typeface="+mn-ea"/>
                  <a:cs typeface="Arial" panose="020B0604020202020204" pitchFamily="34" charset="0"/>
                </a:rPr>
                <a:t>Product</a:t>
              </a: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4</xdr:row>
      <xdr:rowOff>167640</xdr:rowOff>
    </xdr:from>
    <xdr:to>
      <xdr:col>9</xdr:col>
      <xdr:colOff>76200</xdr:colOff>
      <xdr:row>19</xdr:row>
      <xdr:rowOff>167640</xdr:rowOff>
    </xdr:to>
    <xdr:graphicFrame macro="">
      <xdr:nvGraphicFramePr>
        <xdr:cNvPr id="2" name="Chart 1">
          <a:extLst>
            <a:ext uri="{FF2B5EF4-FFF2-40B4-BE49-F238E27FC236}">
              <a16:creationId xmlns:a16="http://schemas.microsoft.com/office/drawing/2014/main" id="{138AA1E9-2EA4-0DB3-2272-B20CF3FFE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777240</xdr:colOff>
      <xdr:row>20</xdr:row>
      <xdr:rowOff>11430</xdr:rowOff>
    </xdr:from>
    <xdr:to>
      <xdr:col>8</xdr:col>
      <xdr:colOff>381000</xdr:colOff>
      <xdr:row>35</xdr:row>
      <xdr:rowOff>11430</xdr:rowOff>
    </xdr:to>
    <xdr:graphicFrame macro="">
      <xdr:nvGraphicFramePr>
        <xdr:cNvPr id="5" name="Chart 4">
          <a:extLst>
            <a:ext uri="{FF2B5EF4-FFF2-40B4-BE49-F238E27FC236}">
              <a16:creationId xmlns:a16="http://schemas.microsoft.com/office/drawing/2014/main" id="{9249BEC4-F82A-D317-4C53-9A8336B08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579120</xdr:colOff>
      <xdr:row>35</xdr:row>
      <xdr:rowOff>137160</xdr:rowOff>
    </xdr:from>
    <xdr:to>
      <xdr:col>6</xdr:col>
      <xdr:colOff>723900</xdr:colOff>
      <xdr:row>50</xdr:row>
      <xdr:rowOff>137160</xdr:rowOff>
    </xdr:to>
    <xdr:graphicFrame macro="">
      <xdr:nvGraphicFramePr>
        <xdr:cNvPr id="7" name="Chart 6">
          <a:extLst>
            <a:ext uri="{FF2B5EF4-FFF2-40B4-BE49-F238E27FC236}">
              <a16:creationId xmlns:a16="http://schemas.microsoft.com/office/drawing/2014/main" id="{D2D2436F-B6DB-1C22-217D-8A9ABB7A7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998220</xdr:colOff>
      <xdr:row>35</xdr:row>
      <xdr:rowOff>175261</xdr:rowOff>
    </xdr:from>
    <xdr:to>
      <xdr:col>8</xdr:col>
      <xdr:colOff>563880</xdr:colOff>
      <xdr:row>43</xdr:row>
      <xdr:rowOff>167641</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7E21900C-8DAC-0964-8435-A9370A77F85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7734300" y="657606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281940</xdr:colOff>
      <xdr:row>51</xdr:row>
      <xdr:rowOff>160020</xdr:rowOff>
    </xdr:from>
    <xdr:to>
      <xdr:col>7</xdr:col>
      <xdr:colOff>1043940</xdr:colOff>
      <xdr:row>65</xdr:row>
      <xdr:rowOff>66675</xdr:rowOff>
    </xdr:to>
    <mc:AlternateContent xmlns:mc="http://schemas.openxmlformats.org/markup-compatibility/2006" xmlns:a14="http://schemas.microsoft.com/office/drawing/2010/main">
      <mc:Choice Requires="a14">
        <xdr:graphicFrame macro="">
          <xdr:nvGraphicFramePr>
            <xdr:cNvPr id="13" name="Quarters (Date)">
              <a:extLst>
                <a:ext uri="{FF2B5EF4-FFF2-40B4-BE49-F238E27FC236}">
                  <a16:creationId xmlns:a16="http://schemas.microsoft.com/office/drawing/2014/main" id="{FD6145A9-759F-C88D-57B6-4A4668643002}"/>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7018020" y="9486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xdr:colOff>
      <xdr:row>4</xdr:row>
      <xdr:rowOff>91440</xdr:rowOff>
    </xdr:from>
    <xdr:to>
      <xdr:col>10</xdr:col>
      <xdr:colOff>297180</xdr:colOff>
      <xdr:row>17</xdr:row>
      <xdr:rowOff>180975</xdr:rowOff>
    </xdr:to>
    <mc:AlternateContent xmlns:mc="http://schemas.openxmlformats.org/markup-compatibility/2006" xmlns:a14="http://schemas.microsoft.com/office/drawing/2010/main">
      <mc:Choice Requires="a14">
        <xdr:graphicFrame macro="">
          <xdr:nvGraphicFramePr>
            <xdr:cNvPr id="14" name="Months (Date)">
              <a:extLst>
                <a:ext uri="{FF2B5EF4-FFF2-40B4-BE49-F238E27FC236}">
                  <a16:creationId xmlns:a16="http://schemas.microsoft.com/office/drawing/2014/main" id="{2B4AA5AF-D3F5-F034-F4AB-1F4FD727251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416540" y="822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312420</xdr:colOff>
      <xdr:row>54</xdr:row>
      <xdr:rowOff>91441</xdr:rowOff>
    </xdr:from>
    <xdr:to>
      <xdr:col>6</xdr:col>
      <xdr:colOff>99060</xdr:colOff>
      <xdr:row>64</xdr:row>
      <xdr:rowOff>38101</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B395BCE4-2868-3835-EBF5-8192040FE61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632960" y="9966961"/>
              <a:ext cx="193548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716280</xdr:colOff>
      <xdr:row>16</xdr:row>
      <xdr:rowOff>129540</xdr:rowOff>
    </xdr:from>
    <xdr:to>
      <xdr:col>8</xdr:col>
      <xdr:colOff>487680</xdr:colOff>
      <xdr:row>24</xdr:row>
      <xdr:rowOff>60960</xdr:rowOff>
    </xdr:to>
    <xdr:graphicFrame macro="">
      <xdr:nvGraphicFramePr>
        <xdr:cNvPr id="2" name="Chart 1">
          <a:extLst>
            <a:ext uri="{FF2B5EF4-FFF2-40B4-BE49-F238E27FC236}">
              <a16:creationId xmlns:a16="http://schemas.microsoft.com/office/drawing/2014/main" id="{E05D1B61-CB5F-5C46-4563-0EF09F1A0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0</xdr:row>
      <xdr:rowOff>0</xdr:rowOff>
    </xdr:from>
    <xdr:to>
      <xdr:col>8</xdr:col>
      <xdr:colOff>487680</xdr:colOff>
      <xdr:row>10</xdr:row>
      <xdr:rowOff>175260</xdr:rowOff>
    </xdr:to>
    <xdr:graphicFrame macro="">
      <xdr:nvGraphicFramePr>
        <xdr:cNvPr id="3" name="Chart 2">
          <a:extLst>
            <a:ext uri="{FF2B5EF4-FFF2-40B4-BE49-F238E27FC236}">
              <a16:creationId xmlns:a16="http://schemas.microsoft.com/office/drawing/2014/main" id="{6AAB4215-B736-30F2-27DD-C9117754D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129540</xdr:colOff>
      <xdr:row>8</xdr:row>
      <xdr:rowOff>7620</xdr:rowOff>
    </xdr:from>
    <xdr:to>
      <xdr:col>14</xdr:col>
      <xdr:colOff>449580</xdr:colOff>
      <xdr:row>19</xdr:row>
      <xdr:rowOff>129540</xdr:rowOff>
    </xdr:to>
    <xdr:graphicFrame macro="">
      <xdr:nvGraphicFramePr>
        <xdr:cNvPr id="4" name="Chart 3">
          <a:extLst>
            <a:ext uri="{FF2B5EF4-FFF2-40B4-BE49-F238E27FC236}">
              <a16:creationId xmlns:a16="http://schemas.microsoft.com/office/drawing/2014/main" id="{E9B49A54-DED5-44D7-ECD5-9A6AC3404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342900</xdr:colOff>
      <xdr:row>24</xdr:row>
      <xdr:rowOff>137160</xdr:rowOff>
    </xdr:from>
    <xdr:to>
      <xdr:col>10</xdr:col>
      <xdr:colOff>373380</xdr:colOff>
      <xdr:row>34</xdr:row>
      <xdr:rowOff>38100</xdr:rowOff>
    </xdr:to>
    <xdr:graphicFrame macro="">
      <xdr:nvGraphicFramePr>
        <xdr:cNvPr id="5" name="Chart 4">
          <a:extLst>
            <a:ext uri="{FF2B5EF4-FFF2-40B4-BE49-F238E27FC236}">
              <a16:creationId xmlns:a16="http://schemas.microsoft.com/office/drawing/2014/main" id="{1C930472-736C-D001-475A-E21B2FF53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36</xdr:row>
      <xdr:rowOff>30480</xdr:rowOff>
    </xdr:from>
    <xdr:to>
      <xdr:col>10</xdr:col>
      <xdr:colOff>114300</xdr:colOff>
      <xdr:row>49</xdr:row>
      <xdr:rowOff>7620</xdr:rowOff>
    </xdr:to>
    <xdr:graphicFrame macro="">
      <xdr:nvGraphicFramePr>
        <xdr:cNvPr id="7" name="Chart 6">
          <a:extLst>
            <a:ext uri="{FF2B5EF4-FFF2-40B4-BE49-F238E27FC236}">
              <a16:creationId xmlns:a16="http://schemas.microsoft.com/office/drawing/2014/main" id="{6604D22E-08B1-7506-46AE-25B97860B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251460</xdr:colOff>
      <xdr:row>0</xdr:row>
      <xdr:rowOff>76201</xdr:rowOff>
    </xdr:from>
    <xdr:to>
      <xdr:col>13</xdr:col>
      <xdr:colOff>236220</xdr:colOff>
      <xdr:row>8</xdr:row>
      <xdr:rowOff>7621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575BFAB-E2A7-9E63-E928-ED4C854DAC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91400" y="76201"/>
              <a:ext cx="181356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624840</xdr:colOff>
      <xdr:row>2</xdr:row>
      <xdr:rowOff>41910</xdr:rowOff>
    </xdr:from>
    <xdr:to>
      <xdr:col>7</xdr:col>
      <xdr:colOff>403860</xdr:colOff>
      <xdr:row>13</xdr:row>
      <xdr:rowOff>114300</xdr:rowOff>
    </xdr:to>
    <xdr:graphicFrame macro="">
      <xdr:nvGraphicFramePr>
        <xdr:cNvPr id="4" name="Chart 3">
          <a:extLst>
            <a:ext uri="{FF2B5EF4-FFF2-40B4-BE49-F238E27FC236}">
              <a16:creationId xmlns:a16="http://schemas.microsoft.com/office/drawing/2014/main" id="{CE89C544-2078-2A7C-B9F7-68746BA27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14</xdr:row>
      <xdr:rowOff>60960</xdr:rowOff>
    </xdr:from>
    <xdr:to>
      <xdr:col>6</xdr:col>
      <xdr:colOff>190500</xdr:colOff>
      <xdr:row>26</xdr:row>
      <xdr:rowOff>167640</xdr:rowOff>
    </xdr:to>
    <xdr:graphicFrame macro="">
      <xdr:nvGraphicFramePr>
        <xdr:cNvPr id="5" name="Chart 4">
          <a:extLst>
            <a:ext uri="{FF2B5EF4-FFF2-40B4-BE49-F238E27FC236}">
              <a16:creationId xmlns:a16="http://schemas.microsoft.com/office/drawing/2014/main" id="{B104F0C3-BDFB-D85C-8E5C-665447A56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449580</xdr:colOff>
      <xdr:row>9</xdr:row>
      <xdr:rowOff>91440</xdr:rowOff>
    </xdr:from>
    <xdr:to>
      <xdr:col>6</xdr:col>
      <xdr:colOff>982980</xdr:colOff>
      <xdr:row>27</xdr:row>
      <xdr:rowOff>22860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7301261B-0FA6-BC07-A18A-7ED32A134D8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632960" y="1737360"/>
              <a:ext cx="3596640" cy="3223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am Sanfui" refreshedDate="46166.479044560183" createdVersion="8" refreshedVersion="8" minRefreshableVersion="3" recordCount="100" xr:uid="{DD7F74C8-DA46-4227-BC06-8B40E69A0644}">
  <cacheSource type="worksheet">
    <worksheetSource ref="A1:F101" sheet="Customer_Data"/>
  </cacheSource>
  <cacheFields count="6">
    <cacheField name="Customer_ID" numFmtId="0">
      <sharedItems/>
    </cacheField>
    <cacheField name="Industry" numFmtId="0">
      <sharedItems count="4">
        <s v="Packaging"/>
        <s v="Construction"/>
        <s v="Transportation"/>
        <s v="Industrial"/>
      </sharedItems>
    </cacheField>
    <cacheField name="Region" numFmtId="0">
      <sharedItems count="4">
        <s v="West"/>
        <s v="South"/>
        <s v="East"/>
        <s v="North"/>
      </sharedItems>
    </cacheField>
    <cacheField name="Total_Orders" numFmtId="0">
      <sharedItems containsSemiMixedTypes="0" containsString="0" containsNumber="1" containsInteger="1" minValue="1" maxValue="50"/>
    </cacheField>
    <cacheField name="Total_Revenue" numFmtId="0">
      <sharedItems containsSemiMixedTypes="0" containsString="0" containsNumber="1" containsInteger="1" minValue="51093" maxValue="992920"/>
    </cacheField>
    <cacheField name="Repeat_Customer" numFmtId="0">
      <sharedItems count="2">
        <s v="No"/>
        <s v="Yes"/>
      </sharedItems>
    </cacheField>
  </cacheFields>
  <extLst>
    <ext xmlns:x14="http://schemas.microsoft.com/office/spreadsheetml/2009/9/main" uri="{725AE2AE-9491-48be-B2B4-4EB974FC3084}">
      <x14:pivotCacheDefinition pivotCacheId="5005047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am Sanfui" refreshedDate="46166.479045486114" createdVersion="8" refreshedVersion="8" minRefreshableVersion="3" recordCount="48" xr:uid="{CF84C297-F9B0-4118-A20B-EE610BCA9ECD}">
  <cacheSource type="worksheet">
    <worksheetSource ref="A1:G49" sheet="Production_Data"/>
  </cacheSource>
  <cacheFields count="7">
    <cacheField name="Month" numFmtId="0">
      <sharedItems count="12">
        <s v="Jan"/>
        <s v="Feb"/>
        <s v="Mar"/>
        <s v="Apr"/>
        <s v="May"/>
        <s v="Jun"/>
        <s v="Jul"/>
        <s v="Aug"/>
        <s v="Sep"/>
        <s v="Oct"/>
        <s v="Nov"/>
        <s v="Dec"/>
      </sharedItems>
    </cacheField>
    <cacheField name="Plant" numFmtId="0">
      <sharedItems count="2">
        <s v="Kolkata Plant"/>
        <s v="Haldia Plant"/>
      </sharedItems>
    </cacheField>
    <cacheField name="Product" numFmtId="0">
      <sharedItems count="4">
        <s v="Aluminium Sheets &amp; Coils"/>
        <s v="Roofing Sheets"/>
        <s v="Flooring Sheets"/>
        <s v="Colour Coated Coils"/>
      </sharedItems>
    </cacheField>
    <cacheField name="Production_Tons" numFmtId="0">
      <sharedItems containsSemiMixedTypes="0" containsString="0" containsNumber="1" containsInteger="1" minValue="110" maxValue="995"/>
    </cacheField>
    <cacheField name="Defect_Percentage" numFmtId="0">
      <sharedItems containsSemiMixedTypes="0" containsString="0" containsNumber="1" minValue="0.53" maxValue="4.76"/>
    </cacheField>
    <cacheField name="Downtime_Hours" numFmtId="0">
      <sharedItems containsSemiMixedTypes="0" containsString="0" containsNumber="1" containsInteger="1" minValue="5" maxValue="49"/>
    </cacheField>
    <cacheField name="Production_Cost" numFmtId="0">
      <sharedItems containsSemiMixedTypes="0" containsString="0" containsNumber="1" containsInteger="1" minValue="100003" maxValue="496008"/>
    </cacheField>
  </cacheFields>
  <extLst>
    <ext xmlns:x14="http://schemas.microsoft.com/office/spreadsheetml/2009/9/main" uri="{725AE2AE-9491-48be-B2B4-4EB974FC3084}">
      <x14:pivotCacheDefinition pivotCacheId="11598013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am Sanfui" refreshedDate="46166.47904583333" createdVersion="8" refreshedVersion="8" minRefreshableVersion="3" recordCount="300" xr:uid="{299185C7-6194-45E9-A03D-404397D5AE3C}">
  <cacheSource type="worksheet">
    <worksheetSource ref="A1:L301" sheet="Raw_Sales_Data"/>
  </cacheSource>
  <cacheFields count="15">
    <cacheField name="Order_ID" numFmtId="0">
      <sharedItems/>
    </cacheField>
    <cacheField name="Date" numFmtId="14">
      <sharedItems containsSemiMixedTypes="0" containsNonDate="0" containsDate="1" containsString="0" minDate="2025-01-03T00:00:00" maxDate="2026-01-02T00:00:00" count="211">
        <d v="2025-11-03T00:00:00"/>
        <d v="2025-03-17T00:00:00"/>
        <d v="2025-02-25T00:00:00"/>
        <d v="2025-10-20T00:00:00"/>
        <d v="2025-03-04T00:00:00"/>
        <d v="2025-01-14T00:00:00"/>
        <d v="2025-02-26T00:00:00"/>
        <d v="2025-09-30T00:00:00"/>
        <d v="2025-12-12T00:00:00"/>
        <d v="2025-01-21T00:00:00"/>
        <d v="2025-09-09T00:00:00"/>
        <d v="2025-03-09T00:00:00"/>
        <d v="2025-07-27T00:00:00"/>
        <d v="2025-12-13T00:00:00"/>
        <d v="2025-09-16T00:00:00"/>
        <d v="2025-04-19T00:00:00"/>
        <d v="2025-10-15T00:00:00"/>
        <d v="2025-05-17T00:00:00"/>
        <d v="2025-11-02T00:00:00"/>
        <d v="2025-07-31T00:00:00"/>
        <d v="2025-05-22T00:00:00"/>
        <d v="2025-05-01T00:00:00"/>
        <d v="2025-03-29T00:00:00"/>
        <d v="2025-05-02T00:00:00"/>
        <d v="2025-03-01T00:00:00"/>
        <d v="2025-06-22T00:00:00"/>
        <d v="2025-03-18T00:00:00"/>
        <d v="2025-06-02T00:00:00"/>
        <d v="2025-04-16T00:00:00"/>
        <d v="2025-05-15T00:00:00"/>
        <d v="2025-08-02T00:00:00"/>
        <d v="2025-10-02T00:00:00"/>
        <d v="2025-12-01T00:00:00"/>
        <d v="2025-02-06T00:00:00"/>
        <d v="2025-10-29T00:00:00"/>
        <d v="2025-02-18T00:00:00"/>
        <d v="2025-08-28T00:00:00"/>
        <d v="2025-04-05T00:00:00"/>
        <d v="2025-08-21T00:00:00"/>
        <d v="2025-03-10T00:00:00"/>
        <d v="2025-08-17T00:00:00"/>
        <d v="2025-12-15T00:00:00"/>
        <d v="2025-12-09T00:00:00"/>
        <d v="2026-01-01T00:00:00"/>
        <d v="2025-08-19T00:00:00"/>
        <d v="2025-10-17T00:00:00"/>
        <d v="2025-10-26T00:00:00"/>
        <d v="2025-08-16T00:00:00"/>
        <d v="2025-09-05T00:00:00"/>
        <d v="2025-08-31T00:00:00"/>
        <d v="2025-06-25T00:00:00"/>
        <d v="2025-05-24T00:00:00"/>
        <d v="2025-04-25T00:00:00"/>
        <d v="2025-11-17T00:00:00"/>
        <d v="2025-06-29T00:00:00"/>
        <d v="2025-05-23T00:00:00"/>
        <d v="2025-04-11T00:00:00"/>
        <d v="2025-11-19T00:00:00"/>
        <d v="2025-01-05T00:00:00"/>
        <d v="2025-09-24T00:00:00"/>
        <d v="2025-01-15T00:00:00"/>
        <d v="2025-11-08T00:00:00"/>
        <d v="2025-04-04T00:00:00"/>
        <d v="2025-01-25T00:00:00"/>
        <d v="2025-04-20T00:00:00"/>
        <d v="2025-10-21T00:00:00"/>
        <d v="2025-07-14T00:00:00"/>
        <d v="2025-02-14T00:00:00"/>
        <d v="2025-11-16T00:00:00"/>
        <d v="2025-12-20T00:00:00"/>
        <d v="2025-01-27T00:00:00"/>
        <d v="2025-09-17T00:00:00"/>
        <d v="2025-10-11T00:00:00"/>
        <d v="2025-04-24T00:00:00"/>
        <d v="2025-07-23T00:00:00"/>
        <d v="2025-10-13T00:00:00"/>
        <d v="2025-10-30T00:00:00"/>
        <d v="2025-06-23T00:00:00"/>
        <d v="2025-11-18T00:00:00"/>
        <d v="2025-12-21T00:00:00"/>
        <d v="2025-06-18T00:00:00"/>
        <d v="2025-05-31T00:00:00"/>
        <d v="2025-03-02T00:00:00"/>
        <d v="2025-02-08T00:00:00"/>
        <d v="2025-10-09T00:00:00"/>
        <d v="2025-08-27T00:00:00"/>
        <d v="2025-03-30T00:00:00"/>
        <d v="2025-01-29T00:00:00"/>
        <d v="2025-07-04T00:00:00"/>
        <d v="2025-09-01T00:00:00"/>
        <d v="2025-12-31T00:00:00"/>
        <d v="2025-09-27T00:00:00"/>
        <d v="2025-04-02T00:00:00"/>
        <d v="2025-01-16T00:00:00"/>
        <d v="2025-01-26T00:00:00"/>
        <d v="2025-05-05T00:00:00"/>
        <d v="2025-02-19T00:00:00"/>
        <d v="2025-05-16T00:00:00"/>
        <d v="2025-07-17T00:00:00"/>
        <d v="2025-05-19T00:00:00"/>
        <d v="2025-08-12T00:00:00"/>
        <d v="2025-06-05T00:00:00"/>
        <d v="2025-02-07T00:00:00"/>
        <d v="2025-11-25T00:00:00"/>
        <d v="2025-10-22T00:00:00"/>
        <d v="2025-05-11T00:00:00"/>
        <d v="2025-01-07T00:00:00"/>
        <d v="2025-02-22T00:00:00"/>
        <d v="2025-02-03T00:00:00"/>
        <d v="2025-04-15T00:00:00"/>
        <d v="2025-09-04T00:00:00"/>
        <d v="2025-01-17T00:00:00"/>
        <d v="2025-06-09T00:00:00"/>
        <d v="2025-02-15T00:00:00"/>
        <d v="2025-07-09T00:00:00"/>
        <d v="2025-11-24T00:00:00"/>
        <d v="2025-06-11T00:00:00"/>
        <d v="2025-05-18T00:00:00"/>
        <d v="2025-01-28T00:00:00"/>
        <d v="2025-07-30T00:00:00"/>
        <d v="2025-02-23T00:00:00"/>
        <d v="2025-05-06T00:00:00"/>
        <d v="2025-08-05T00:00:00"/>
        <d v="2025-05-13T00:00:00"/>
        <d v="2025-12-17T00:00:00"/>
        <d v="2025-11-27T00:00:00"/>
        <d v="2025-09-23T00:00:00"/>
        <d v="2025-07-12T00:00:00"/>
        <d v="2025-01-03T00:00:00"/>
        <d v="2025-09-03T00:00:00"/>
        <d v="2025-04-18T00:00:00"/>
        <d v="2025-06-27T00:00:00"/>
        <d v="2025-11-30T00:00:00"/>
        <d v="2025-09-25T00:00:00"/>
        <d v="2025-11-07T00:00:00"/>
        <d v="2025-06-06T00:00:00"/>
        <d v="2025-05-12T00:00:00"/>
        <d v="2025-08-11T00:00:00"/>
        <d v="2025-03-16T00:00:00"/>
        <d v="2025-10-10T00:00:00"/>
        <d v="2025-10-06T00:00:00"/>
        <d v="2025-10-01T00:00:00"/>
        <d v="2025-08-03T00:00:00"/>
        <d v="2025-03-31T00:00:00"/>
        <d v="2025-07-29T00:00:00"/>
        <d v="2025-05-03T00:00:00"/>
        <d v="2025-03-13T00:00:00"/>
        <d v="2025-09-14T00:00:00"/>
        <d v="2025-06-16T00:00:00"/>
        <d v="2025-07-26T00:00:00"/>
        <d v="2025-12-22T00:00:00"/>
        <d v="2025-01-13T00:00:00"/>
        <d v="2025-02-12T00:00:00"/>
        <d v="2025-11-10T00:00:00"/>
        <d v="2025-02-05T00:00:00"/>
        <d v="2025-03-03T00:00:00"/>
        <d v="2025-08-22T00:00:00"/>
        <d v="2025-07-10T00:00:00"/>
        <d v="2025-07-01T00:00:00"/>
        <d v="2025-08-04T00:00:00"/>
        <d v="2025-07-25T00:00:00"/>
        <d v="2025-08-14T00:00:00"/>
        <d v="2025-10-07T00:00:00"/>
        <d v="2025-06-21T00:00:00"/>
        <d v="2025-04-23T00:00:00"/>
        <d v="2025-11-06T00:00:00"/>
        <d v="2025-03-21T00:00:00"/>
        <d v="2025-08-13T00:00:00"/>
        <d v="2025-04-17T00:00:00"/>
        <d v="2025-02-13T00:00:00"/>
        <d v="2025-08-25T00:00:00"/>
        <d v="2025-10-04T00:00:00"/>
        <d v="2025-06-15T00:00:00"/>
        <d v="2025-12-16T00:00:00"/>
        <d v="2025-12-18T00:00:00"/>
        <d v="2025-10-18T00:00:00"/>
        <d v="2025-07-13T00:00:00"/>
        <d v="2025-04-14T00:00:00"/>
        <d v="2025-02-28T00:00:00"/>
        <d v="2025-06-28T00:00:00"/>
        <d v="2025-12-28T00:00:00"/>
        <d v="2025-06-13T00:00:00"/>
        <d v="2025-12-03T00:00:00"/>
        <d v="2025-07-19T00:00:00"/>
        <d v="2025-04-22T00:00:00"/>
        <d v="2025-08-24T00:00:00"/>
        <d v="2025-02-01T00:00:00"/>
        <d v="2025-11-29T00:00:00"/>
        <d v="2025-03-06T00:00:00"/>
        <d v="2025-11-05T00:00:00"/>
        <d v="2025-09-26T00:00:00"/>
        <d v="2025-09-08T00:00:00"/>
        <d v="2025-11-01T00:00:00"/>
        <d v="2025-06-26T00:00:00"/>
        <d v="2025-04-26T00:00:00"/>
        <d v="2025-07-16T00:00:00"/>
        <d v="2025-08-23T00:00:00"/>
        <d v="2025-06-14T00:00:00"/>
        <d v="2025-08-10T00:00:00"/>
        <d v="2025-05-29T00:00:00"/>
        <d v="2025-02-24T00:00:00"/>
        <d v="2025-04-03T00:00:00"/>
        <d v="2025-05-28T00:00:00"/>
        <d v="2025-04-30T00:00:00"/>
        <d v="2025-08-26T00:00:00"/>
        <d v="2025-12-06T00:00:00"/>
        <d v="2025-08-07T00:00:00"/>
        <d v="2025-01-24T00:00:00"/>
        <d v="2025-12-07T00:00:00"/>
        <d v="2025-01-12T00:00:00"/>
        <d v="2025-01-06T00:00:00"/>
      </sharedItems>
      <fieldGroup par="14"/>
    </cacheField>
    <cacheField name="Region" numFmtId="0">
      <sharedItems/>
    </cacheField>
    <cacheField name="Product_Category" numFmtId="0">
      <sharedItems count="4">
        <s v="Aluminium Sheets &amp; Coils"/>
        <s v="Roofing Sheets"/>
        <s v="Colour Coated Coils"/>
        <s v="Flooring Sheets"/>
      </sharedItems>
    </cacheField>
    <cacheField name="Product_Name" numFmtId="0">
      <sharedItems count="9">
        <s v="Closure Coil"/>
        <s v="Industrial Sheet"/>
        <s v="Plain Coil"/>
        <s v="Trapezoidal Roofing"/>
        <s v="Red Coated Coil"/>
        <s v="Blue Coated Coil"/>
        <s v="Diamond Pattern"/>
        <s v="Sinusoidal Roofing"/>
        <s v="5 Bar Flooring"/>
      </sharedItems>
    </cacheField>
    <cacheField name="Customer_Type" numFmtId="0">
      <sharedItems/>
    </cacheField>
    <cacheField name="Quantity" numFmtId="0">
      <sharedItems containsSemiMixedTypes="0" containsString="0" containsNumber="1" containsInteger="1" minValue="21" maxValue="500"/>
    </cacheField>
    <cacheField name="Unit_Price" numFmtId="164">
      <sharedItems containsSemiMixedTypes="0" containsString="0" containsNumber="1" containsInteger="1" minValue="351" maxValue="1500"/>
    </cacheField>
    <cacheField name="Sales_Amount" numFmtId="164">
      <sharedItems containsSemiMixedTypes="0" containsString="0" containsNumber="1" containsInteger="1" minValue="11280" maxValue="676644"/>
    </cacheField>
    <cacheField name="Cost" numFmtId="44">
      <sharedItems containsSemiMixedTypes="0" containsString="0" containsNumber="1" minValue="9928.33" maxValue="586029.71"/>
    </cacheField>
    <cacheField name="Profit" numFmtId="44">
      <sharedItems containsSemiMixedTypes="0" containsString="0" containsNumber="1" minValue="1351.67" maxValue="202917.8"/>
    </cacheField>
    <cacheField name="Field12" caption="Field12" numFmtId="164">
      <sharedItems containsNonDate="0" containsString="0" containsBlank="1"/>
    </cacheField>
    <cacheField name="Months (Date)" numFmtId="0" databaseField="0">
      <fieldGroup base="1">
        <rangePr groupBy="months" startDate="2025-01-03T00:00:00" endDate="2026-01-02T00:00:00"/>
        <groupItems count="14">
          <s v="&lt;03-01-2025"/>
          <s v="Jan"/>
          <s v="Feb"/>
          <s v="Mar"/>
          <s v="Apr"/>
          <s v="May"/>
          <s v="Jun"/>
          <s v="Jul"/>
          <s v="Aug"/>
          <s v="Sep"/>
          <s v="Oct"/>
          <s v="Nov"/>
          <s v="Dec"/>
          <s v="&gt;02-01-2026"/>
        </groupItems>
      </fieldGroup>
    </cacheField>
    <cacheField name="Quarters (Date)" numFmtId="0" databaseField="0">
      <fieldGroup base="1">
        <rangePr groupBy="quarters" startDate="2025-01-03T00:00:00" endDate="2026-01-02T00:00:00"/>
        <groupItems count="6">
          <s v="&lt;03-01-2025"/>
          <s v="Qtr1"/>
          <s v="Qtr2"/>
          <s v="Qtr3"/>
          <s v="Qtr4"/>
          <s v="&gt;02-01-2026"/>
        </groupItems>
      </fieldGroup>
    </cacheField>
    <cacheField name="Years (Date)" numFmtId="0" databaseField="0">
      <fieldGroup base="1">
        <rangePr groupBy="years" startDate="2025-01-03T00:00:00" endDate="2026-01-02T00:00:00"/>
        <groupItems count="4">
          <s v="&lt;03-01-2025"/>
          <s v="2025"/>
          <s v="2026"/>
          <s v="&gt;02-01-2026"/>
        </groupItems>
      </fieldGroup>
    </cacheField>
  </cacheFields>
  <extLst>
    <ext xmlns:x14="http://schemas.microsoft.com/office/spreadsheetml/2009/9/main" uri="{725AE2AE-9491-48be-B2B4-4EB974FC3084}">
      <x14:pivotCacheDefinition pivotCacheId="1530865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001"/>
    <x v="0"/>
    <x v="0"/>
    <n v="41"/>
    <n v="842957"/>
    <x v="0"/>
  </r>
  <r>
    <s v="CUST002"/>
    <x v="1"/>
    <x v="1"/>
    <n v="28"/>
    <n v="159074"/>
    <x v="1"/>
  </r>
  <r>
    <s v="CUST003"/>
    <x v="2"/>
    <x v="0"/>
    <n v="16"/>
    <n v="568286"/>
    <x v="1"/>
  </r>
  <r>
    <s v="CUST004"/>
    <x v="1"/>
    <x v="2"/>
    <n v="1"/>
    <n v="978108"/>
    <x v="0"/>
  </r>
  <r>
    <s v="CUST005"/>
    <x v="3"/>
    <x v="1"/>
    <n v="47"/>
    <n v="904055"/>
    <x v="0"/>
  </r>
  <r>
    <s v="CUST006"/>
    <x v="1"/>
    <x v="2"/>
    <n v="24"/>
    <n v="285626"/>
    <x v="1"/>
  </r>
  <r>
    <s v="CUST007"/>
    <x v="0"/>
    <x v="0"/>
    <n v="35"/>
    <n v="865742"/>
    <x v="1"/>
  </r>
  <r>
    <s v="CUST008"/>
    <x v="2"/>
    <x v="2"/>
    <n v="48"/>
    <n v="257733"/>
    <x v="0"/>
  </r>
  <r>
    <s v="CUST009"/>
    <x v="0"/>
    <x v="2"/>
    <n v="26"/>
    <n v="992920"/>
    <x v="1"/>
  </r>
  <r>
    <s v="CUST010"/>
    <x v="1"/>
    <x v="2"/>
    <n v="22"/>
    <n v="84991"/>
    <x v="0"/>
  </r>
  <r>
    <s v="CUST011"/>
    <x v="2"/>
    <x v="3"/>
    <n v="27"/>
    <n v="443453"/>
    <x v="1"/>
  </r>
  <r>
    <s v="CUST012"/>
    <x v="1"/>
    <x v="3"/>
    <n v="41"/>
    <n v="859989"/>
    <x v="0"/>
  </r>
  <r>
    <s v="CUST013"/>
    <x v="1"/>
    <x v="3"/>
    <n v="42"/>
    <n v="805586"/>
    <x v="1"/>
  </r>
  <r>
    <s v="CUST014"/>
    <x v="1"/>
    <x v="1"/>
    <n v="29"/>
    <n v="639822"/>
    <x v="0"/>
  </r>
  <r>
    <s v="CUST015"/>
    <x v="3"/>
    <x v="3"/>
    <n v="24"/>
    <n v="645541"/>
    <x v="0"/>
  </r>
  <r>
    <s v="CUST016"/>
    <x v="3"/>
    <x v="0"/>
    <n v="37"/>
    <n v="965895"/>
    <x v="1"/>
  </r>
  <r>
    <s v="CUST017"/>
    <x v="1"/>
    <x v="0"/>
    <n v="39"/>
    <n v="502126"/>
    <x v="0"/>
  </r>
  <r>
    <s v="CUST018"/>
    <x v="1"/>
    <x v="3"/>
    <n v="6"/>
    <n v="568393"/>
    <x v="1"/>
  </r>
  <r>
    <s v="CUST019"/>
    <x v="2"/>
    <x v="3"/>
    <n v="44"/>
    <n v="51093"/>
    <x v="0"/>
  </r>
  <r>
    <s v="CUST020"/>
    <x v="3"/>
    <x v="1"/>
    <n v="3"/>
    <n v="671354"/>
    <x v="1"/>
  </r>
  <r>
    <s v="CUST021"/>
    <x v="3"/>
    <x v="0"/>
    <n v="10"/>
    <n v="823816"/>
    <x v="1"/>
  </r>
  <r>
    <s v="CUST022"/>
    <x v="2"/>
    <x v="3"/>
    <n v="18"/>
    <n v="117244"/>
    <x v="0"/>
  </r>
  <r>
    <s v="CUST023"/>
    <x v="3"/>
    <x v="0"/>
    <n v="20"/>
    <n v="358051"/>
    <x v="1"/>
  </r>
  <r>
    <s v="CUST024"/>
    <x v="3"/>
    <x v="3"/>
    <n v="26"/>
    <n v="122401"/>
    <x v="1"/>
  </r>
  <r>
    <s v="CUST025"/>
    <x v="2"/>
    <x v="0"/>
    <n v="43"/>
    <n v="75197"/>
    <x v="0"/>
  </r>
  <r>
    <s v="CUST026"/>
    <x v="1"/>
    <x v="3"/>
    <n v="6"/>
    <n v="286206"/>
    <x v="1"/>
  </r>
  <r>
    <s v="CUST027"/>
    <x v="2"/>
    <x v="1"/>
    <n v="4"/>
    <n v="204960"/>
    <x v="0"/>
  </r>
  <r>
    <s v="CUST028"/>
    <x v="2"/>
    <x v="2"/>
    <n v="50"/>
    <n v="74472"/>
    <x v="0"/>
  </r>
  <r>
    <s v="CUST029"/>
    <x v="0"/>
    <x v="1"/>
    <n v="4"/>
    <n v="468961"/>
    <x v="1"/>
  </r>
  <r>
    <s v="CUST030"/>
    <x v="1"/>
    <x v="2"/>
    <n v="3"/>
    <n v="554416"/>
    <x v="1"/>
  </r>
  <r>
    <s v="CUST031"/>
    <x v="3"/>
    <x v="0"/>
    <n v="4"/>
    <n v="439889"/>
    <x v="0"/>
  </r>
  <r>
    <s v="CUST032"/>
    <x v="3"/>
    <x v="2"/>
    <n v="41"/>
    <n v="397689"/>
    <x v="0"/>
  </r>
  <r>
    <s v="CUST033"/>
    <x v="0"/>
    <x v="1"/>
    <n v="14"/>
    <n v="341063"/>
    <x v="1"/>
  </r>
  <r>
    <s v="CUST034"/>
    <x v="1"/>
    <x v="1"/>
    <n v="11"/>
    <n v="837769"/>
    <x v="0"/>
  </r>
  <r>
    <s v="CUST035"/>
    <x v="1"/>
    <x v="0"/>
    <n v="2"/>
    <n v="760931"/>
    <x v="0"/>
  </r>
  <r>
    <s v="CUST036"/>
    <x v="1"/>
    <x v="1"/>
    <n v="14"/>
    <n v="293223"/>
    <x v="1"/>
  </r>
  <r>
    <s v="CUST037"/>
    <x v="1"/>
    <x v="0"/>
    <n v="31"/>
    <n v="823890"/>
    <x v="0"/>
  </r>
  <r>
    <s v="CUST038"/>
    <x v="1"/>
    <x v="3"/>
    <n v="13"/>
    <n v="503962"/>
    <x v="0"/>
  </r>
  <r>
    <s v="CUST039"/>
    <x v="0"/>
    <x v="3"/>
    <n v="20"/>
    <n v="54821"/>
    <x v="1"/>
  </r>
  <r>
    <s v="CUST040"/>
    <x v="2"/>
    <x v="3"/>
    <n v="49"/>
    <n v="828621"/>
    <x v="0"/>
  </r>
  <r>
    <s v="CUST041"/>
    <x v="1"/>
    <x v="1"/>
    <n v="3"/>
    <n v="75280"/>
    <x v="1"/>
  </r>
  <r>
    <s v="CUST042"/>
    <x v="2"/>
    <x v="3"/>
    <n v="35"/>
    <n v="363722"/>
    <x v="0"/>
  </r>
  <r>
    <s v="CUST043"/>
    <x v="3"/>
    <x v="2"/>
    <n v="5"/>
    <n v="561693"/>
    <x v="0"/>
  </r>
  <r>
    <s v="CUST044"/>
    <x v="3"/>
    <x v="1"/>
    <n v="11"/>
    <n v="358863"/>
    <x v="1"/>
  </r>
  <r>
    <s v="CUST045"/>
    <x v="2"/>
    <x v="0"/>
    <n v="18"/>
    <n v="818950"/>
    <x v="1"/>
  </r>
  <r>
    <s v="CUST046"/>
    <x v="2"/>
    <x v="2"/>
    <n v="4"/>
    <n v="204947"/>
    <x v="1"/>
  </r>
  <r>
    <s v="CUST047"/>
    <x v="2"/>
    <x v="1"/>
    <n v="42"/>
    <n v="83506"/>
    <x v="0"/>
  </r>
  <r>
    <s v="CUST048"/>
    <x v="2"/>
    <x v="0"/>
    <n v="21"/>
    <n v="905199"/>
    <x v="0"/>
  </r>
  <r>
    <s v="CUST049"/>
    <x v="0"/>
    <x v="3"/>
    <n v="42"/>
    <n v="225614"/>
    <x v="0"/>
  </r>
  <r>
    <s v="CUST050"/>
    <x v="2"/>
    <x v="1"/>
    <n v="36"/>
    <n v="575267"/>
    <x v="1"/>
  </r>
  <r>
    <s v="CUST051"/>
    <x v="3"/>
    <x v="3"/>
    <n v="41"/>
    <n v="216763"/>
    <x v="1"/>
  </r>
  <r>
    <s v="CUST052"/>
    <x v="0"/>
    <x v="3"/>
    <n v="6"/>
    <n v="783070"/>
    <x v="0"/>
  </r>
  <r>
    <s v="CUST053"/>
    <x v="0"/>
    <x v="2"/>
    <n v="18"/>
    <n v="281514"/>
    <x v="0"/>
  </r>
  <r>
    <s v="CUST054"/>
    <x v="2"/>
    <x v="0"/>
    <n v="1"/>
    <n v="903672"/>
    <x v="0"/>
  </r>
  <r>
    <s v="CUST055"/>
    <x v="1"/>
    <x v="2"/>
    <n v="5"/>
    <n v="371584"/>
    <x v="1"/>
  </r>
  <r>
    <s v="CUST056"/>
    <x v="0"/>
    <x v="2"/>
    <n v="42"/>
    <n v="781916"/>
    <x v="0"/>
  </r>
  <r>
    <s v="CUST057"/>
    <x v="0"/>
    <x v="1"/>
    <n v="8"/>
    <n v="552289"/>
    <x v="1"/>
  </r>
  <r>
    <s v="CUST058"/>
    <x v="1"/>
    <x v="2"/>
    <n v="31"/>
    <n v="245170"/>
    <x v="0"/>
  </r>
  <r>
    <s v="CUST059"/>
    <x v="2"/>
    <x v="1"/>
    <n v="5"/>
    <n v="818864"/>
    <x v="1"/>
  </r>
  <r>
    <s v="CUST060"/>
    <x v="2"/>
    <x v="2"/>
    <n v="49"/>
    <n v="615288"/>
    <x v="1"/>
  </r>
  <r>
    <s v="CUST061"/>
    <x v="0"/>
    <x v="2"/>
    <n v="21"/>
    <n v="816983"/>
    <x v="0"/>
  </r>
  <r>
    <s v="CUST062"/>
    <x v="0"/>
    <x v="2"/>
    <n v="43"/>
    <n v="913345"/>
    <x v="1"/>
  </r>
  <r>
    <s v="CUST063"/>
    <x v="2"/>
    <x v="0"/>
    <n v="10"/>
    <n v="506998"/>
    <x v="1"/>
  </r>
  <r>
    <s v="CUST064"/>
    <x v="1"/>
    <x v="1"/>
    <n v="3"/>
    <n v="787359"/>
    <x v="0"/>
  </r>
  <r>
    <s v="CUST065"/>
    <x v="2"/>
    <x v="3"/>
    <n v="43"/>
    <n v="805721"/>
    <x v="0"/>
  </r>
  <r>
    <s v="CUST066"/>
    <x v="3"/>
    <x v="0"/>
    <n v="10"/>
    <n v="537432"/>
    <x v="0"/>
  </r>
  <r>
    <s v="CUST067"/>
    <x v="1"/>
    <x v="2"/>
    <n v="5"/>
    <n v="789263"/>
    <x v="1"/>
  </r>
  <r>
    <s v="CUST068"/>
    <x v="0"/>
    <x v="2"/>
    <n v="49"/>
    <n v="202254"/>
    <x v="0"/>
  </r>
  <r>
    <s v="CUST069"/>
    <x v="3"/>
    <x v="2"/>
    <n v="19"/>
    <n v="344350"/>
    <x v="1"/>
  </r>
  <r>
    <s v="CUST070"/>
    <x v="1"/>
    <x v="3"/>
    <n v="24"/>
    <n v="140304"/>
    <x v="0"/>
  </r>
  <r>
    <s v="CUST071"/>
    <x v="2"/>
    <x v="2"/>
    <n v="5"/>
    <n v="854934"/>
    <x v="1"/>
  </r>
  <r>
    <s v="CUST072"/>
    <x v="3"/>
    <x v="3"/>
    <n v="46"/>
    <n v="642513"/>
    <x v="1"/>
  </r>
  <r>
    <s v="CUST073"/>
    <x v="2"/>
    <x v="3"/>
    <n v="35"/>
    <n v="477230"/>
    <x v="1"/>
  </r>
  <r>
    <s v="CUST074"/>
    <x v="2"/>
    <x v="1"/>
    <n v="7"/>
    <n v="406479"/>
    <x v="1"/>
  </r>
  <r>
    <s v="CUST075"/>
    <x v="2"/>
    <x v="1"/>
    <n v="49"/>
    <n v="708706"/>
    <x v="1"/>
  </r>
  <r>
    <s v="CUST076"/>
    <x v="1"/>
    <x v="1"/>
    <n v="7"/>
    <n v="905705"/>
    <x v="0"/>
  </r>
  <r>
    <s v="CUST077"/>
    <x v="2"/>
    <x v="0"/>
    <n v="25"/>
    <n v="794538"/>
    <x v="1"/>
  </r>
  <r>
    <s v="CUST078"/>
    <x v="3"/>
    <x v="1"/>
    <n v="18"/>
    <n v="324022"/>
    <x v="1"/>
  </r>
  <r>
    <s v="CUST079"/>
    <x v="3"/>
    <x v="0"/>
    <n v="23"/>
    <n v="598704"/>
    <x v="1"/>
  </r>
  <r>
    <s v="CUST080"/>
    <x v="1"/>
    <x v="3"/>
    <n v="15"/>
    <n v="140496"/>
    <x v="0"/>
  </r>
  <r>
    <s v="CUST081"/>
    <x v="1"/>
    <x v="1"/>
    <n v="4"/>
    <n v="456172"/>
    <x v="1"/>
  </r>
  <r>
    <s v="CUST082"/>
    <x v="1"/>
    <x v="1"/>
    <n v="45"/>
    <n v="817066"/>
    <x v="0"/>
  </r>
  <r>
    <s v="CUST083"/>
    <x v="0"/>
    <x v="2"/>
    <n v="18"/>
    <n v="594367"/>
    <x v="0"/>
  </r>
  <r>
    <s v="CUST084"/>
    <x v="0"/>
    <x v="0"/>
    <n v="34"/>
    <n v="512209"/>
    <x v="1"/>
  </r>
  <r>
    <s v="CUST085"/>
    <x v="1"/>
    <x v="3"/>
    <n v="14"/>
    <n v="698718"/>
    <x v="0"/>
  </r>
  <r>
    <s v="CUST086"/>
    <x v="1"/>
    <x v="2"/>
    <n v="25"/>
    <n v="339920"/>
    <x v="1"/>
  </r>
  <r>
    <s v="CUST087"/>
    <x v="2"/>
    <x v="2"/>
    <n v="35"/>
    <n v="756725"/>
    <x v="1"/>
  </r>
  <r>
    <s v="CUST088"/>
    <x v="0"/>
    <x v="3"/>
    <n v="41"/>
    <n v="270746"/>
    <x v="0"/>
  </r>
  <r>
    <s v="CUST089"/>
    <x v="2"/>
    <x v="0"/>
    <n v="33"/>
    <n v="193402"/>
    <x v="1"/>
  </r>
  <r>
    <s v="CUST090"/>
    <x v="2"/>
    <x v="3"/>
    <n v="34"/>
    <n v="206513"/>
    <x v="1"/>
  </r>
  <r>
    <s v="CUST091"/>
    <x v="3"/>
    <x v="0"/>
    <n v="13"/>
    <n v="566719"/>
    <x v="1"/>
  </r>
  <r>
    <s v="CUST092"/>
    <x v="2"/>
    <x v="3"/>
    <n v="3"/>
    <n v="556501"/>
    <x v="1"/>
  </r>
  <r>
    <s v="CUST093"/>
    <x v="0"/>
    <x v="3"/>
    <n v="38"/>
    <n v="991421"/>
    <x v="1"/>
  </r>
  <r>
    <s v="CUST094"/>
    <x v="3"/>
    <x v="0"/>
    <n v="38"/>
    <n v="756983"/>
    <x v="1"/>
  </r>
  <r>
    <s v="CUST095"/>
    <x v="3"/>
    <x v="1"/>
    <n v="13"/>
    <n v="727659"/>
    <x v="1"/>
  </r>
  <r>
    <s v="CUST096"/>
    <x v="2"/>
    <x v="0"/>
    <n v="35"/>
    <n v="168017"/>
    <x v="0"/>
  </r>
  <r>
    <s v="CUST097"/>
    <x v="0"/>
    <x v="3"/>
    <n v="21"/>
    <n v="567373"/>
    <x v="1"/>
  </r>
  <r>
    <s v="CUST098"/>
    <x v="3"/>
    <x v="1"/>
    <n v="8"/>
    <n v="138710"/>
    <x v="0"/>
  </r>
  <r>
    <s v="CUST099"/>
    <x v="0"/>
    <x v="2"/>
    <n v="15"/>
    <n v="496710"/>
    <x v="1"/>
  </r>
  <r>
    <s v="CUST100"/>
    <x v="2"/>
    <x v="2"/>
    <n v="46"/>
    <n v="79000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357"/>
    <n v="3.8"/>
    <n v="9"/>
    <n v="201775"/>
  </r>
  <r>
    <x v="0"/>
    <x v="1"/>
    <x v="1"/>
    <n v="262"/>
    <n v="4.51"/>
    <n v="37"/>
    <n v="269139"/>
  </r>
  <r>
    <x v="0"/>
    <x v="1"/>
    <x v="2"/>
    <n v="572"/>
    <n v="2.46"/>
    <n v="15"/>
    <n v="105236"/>
  </r>
  <r>
    <x v="0"/>
    <x v="0"/>
    <x v="3"/>
    <n v="879"/>
    <n v="3.8"/>
    <n v="22"/>
    <n v="188947"/>
  </r>
  <r>
    <x v="1"/>
    <x v="0"/>
    <x v="0"/>
    <n v="490"/>
    <n v="2.11"/>
    <n v="39"/>
    <n v="205591"/>
  </r>
  <r>
    <x v="1"/>
    <x v="1"/>
    <x v="1"/>
    <n v="735"/>
    <n v="4.07"/>
    <n v="24"/>
    <n v="407276"/>
  </r>
  <r>
    <x v="1"/>
    <x v="1"/>
    <x v="2"/>
    <n v="995"/>
    <n v="3.58"/>
    <n v="46"/>
    <n v="375699"/>
  </r>
  <r>
    <x v="1"/>
    <x v="0"/>
    <x v="3"/>
    <n v="824"/>
    <n v="3.21"/>
    <n v="42"/>
    <n v="254995"/>
  </r>
  <r>
    <x v="2"/>
    <x v="1"/>
    <x v="0"/>
    <n v="740"/>
    <n v="0.62"/>
    <n v="8"/>
    <n v="332324"/>
  </r>
  <r>
    <x v="2"/>
    <x v="1"/>
    <x v="1"/>
    <n v="955"/>
    <n v="2.2400000000000002"/>
    <n v="5"/>
    <n v="377740"/>
  </r>
  <r>
    <x v="2"/>
    <x v="1"/>
    <x v="2"/>
    <n v="398"/>
    <n v="3.55"/>
    <n v="20"/>
    <n v="306490"/>
  </r>
  <r>
    <x v="2"/>
    <x v="1"/>
    <x v="3"/>
    <n v="654"/>
    <n v="3.52"/>
    <n v="6"/>
    <n v="294076"/>
  </r>
  <r>
    <x v="3"/>
    <x v="0"/>
    <x v="0"/>
    <n v="389"/>
    <n v="0.53"/>
    <n v="47"/>
    <n v="126470"/>
  </r>
  <r>
    <x v="3"/>
    <x v="1"/>
    <x v="1"/>
    <n v="366"/>
    <n v="1.93"/>
    <n v="48"/>
    <n v="263173"/>
  </r>
  <r>
    <x v="3"/>
    <x v="0"/>
    <x v="2"/>
    <n v="164"/>
    <n v="1.02"/>
    <n v="25"/>
    <n v="479120"/>
  </r>
  <r>
    <x v="3"/>
    <x v="0"/>
    <x v="3"/>
    <n v="358"/>
    <n v="3.93"/>
    <n v="23"/>
    <n v="336010"/>
  </r>
  <r>
    <x v="4"/>
    <x v="1"/>
    <x v="0"/>
    <n v="916"/>
    <n v="0.68"/>
    <n v="42"/>
    <n v="411234"/>
  </r>
  <r>
    <x v="4"/>
    <x v="0"/>
    <x v="1"/>
    <n v="601"/>
    <n v="0.62"/>
    <n v="37"/>
    <n v="381008"/>
  </r>
  <r>
    <x v="4"/>
    <x v="0"/>
    <x v="2"/>
    <n v="275"/>
    <n v="2.99"/>
    <n v="49"/>
    <n v="454099"/>
  </r>
  <r>
    <x v="4"/>
    <x v="1"/>
    <x v="3"/>
    <n v="374"/>
    <n v="4.1399999999999997"/>
    <n v="36"/>
    <n v="199358"/>
  </r>
  <r>
    <x v="5"/>
    <x v="1"/>
    <x v="0"/>
    <n v="905"/>
    <n v="3.01"/>
    <n v="7"/>
    <n v="494899"/>
  </r>
  <r>
    <x v="5"/>
    <x v="0"/>
    <x v="1"/>
    <n v="627"/>
    <n v="4.53"/>
    <n v="9"/>
    <n v="112289"/>
  </r>
  <r>
    <x v="5"/>
    <x v="1"/>
    <x v="2"/>
    <n v="110"/>
    <n v="2.04"/>
    <n v="30"/>
    <n v="437017"/>
  </r>
  <r>
    <x v="5"/>
    <x v="0"/>
    <x v="3"/>
    <n v="971"/>
    <n v="2.76"/>
    <n v="46"/>
    <n v="194217"/>
  </r>
  <r>
    <x v="6"/>
    <x v="0"/>
    <x v="0"/>
    <n v="809"/>
    <n v="2.8"/>
    <n v="48"/>
    <n v="407519"/>
  </r>
  <r>
    <x v="6"/>
    <x v="1"/>
    <x v="1"/>
    <n v="816"/>
    <n v="1.1599999999999999"/>
    <n v="22"/>
    <n v="374408"/>
  </r>
  <r>
    <x v="6"/>
    <x v="0"/>
    <x v="2"/>
    <n v="972"/>
    <n v="1.01"/>
    <n v="24"/>
    <n v="202689"/>
  </r>
  <r>
    <x v="6"/>
    <x v="0"/>
    <x v="3"/>
    <n v="864"/>
    <n v="3.34"/>
    <n v="20"/>
    <n v="472507"/>
  </r>
  <r>
    <x v="7"/>
    <x v="1"/>
    <x v="0"/>
    <n v="808"/>
    <n v="3.27"/>
    <n v="30"/>
    <n v="284320"/>
  </r>
  <r>
    <x v="7"/>
    <x v="0"/>
    <x v="1"/>
    <n v="852"/>
    <n v="1.1299999999999999"/>
    <n v="33"/>
    <n v="107544"/>
  </r>
  <r>
    <x v="7"/>
    <x v="0"/>
    <x v="2"/>
    <n v="869"/>
    <n v="1.75"/>
    <n v="15"/>
    <n v="136340"/>
  </r>
  <r>
    <x v="7"/>
    <x v="1"/>
    <x v="3"/>
    <n v="683"/>
    <n v="0.92"/>
    <n v="47"/>
    <n v="449046"/>
  </r>
  <r>
    <x v="8"/>
    <x v="1"/>
    <x v="0"/>
    <n v="963"/>
    <n v="4.42"/>
    <n v="24"/>
    <n v="320414"/>
  </r>
  <r>
    <x v="8"/>
    <x v="0"/>
    <x v="1"/>
    <n v="618"/>
    <n v="4.26"/>
    <n v="22"/>
    <n v="171744"/>
  </r>
  <r>
    <x v="8"/>
    <x v="0"/>
    <x v="2"/>
    <n v="281"/>
    <n v="3.61"/>
    <n v="19"/>
    <n v="363173"/>
  </r>
  <r>
    <x v="8"/>
    <x v="0"/>
    <x v="3"/>
    <n v="361"/>
    <n v="0.56000000000000005"/>
    <n v="38"/>
    <n v="285016"/>
  </r>
  <r>
    <x v="9"/>
    <x v="1"/>
    <x v="0"/>
    <n v="671"/>
    <n v="0.61"/>
    <n v="9"/>
    <n v="298888"/>
  </r>
  <r>
    <x v="9"/>
    <x v="1"/>
    <x v="1"/>
    <n v="830"/>
    <n v="2.66"/>
    <n v="24"/>
    <n v="200368"/>
  </r>
  <r>
    <x v="9"/>
    <x v="0"/>
    <x v="2"/>
    <n v="815"/>
    <n v="4.41"/>
    <n v="32"/>
    <n v="196680"/>
  </r>
  <r>
    <x v="9"/>
    <x v="1"/>
    <x v="3"/>
    <n v="862"/>
    <n v="1.67"/>
    <n v="19"/>
    <n v="496008"/>
  </r>
  <r>
    <x v="10"/>
    <x v="0"/>
    <x v="0"/>
    <n v="728"/>
    <n v="3.07"/>
    <n v="16"/>
    <n v="146665"/>
  </r>
  <r>
    <x v="10"/>
    <x v="1"/>
    <x v="1"/>
    <n v="765"/>
    <n v="4.76"/>
    <n v="44"/>
    <n v="100003"/>
  </r>
  <r>
    <x v="10"/>
    <x v="1"/>
    <x v="2"/>
    <n v="475"/>
    <n v="0.94"/>
    <n v="32"/>
    <n v="458333"/>
  </r>
  <r>
    <x v="10"/>
    <x v="0"/>
    <x v="3"/>
    <n v="294"/>
    <n v="2.96"/>
    <n v="12"/>
    <n v="408040"/>
  </r>
  <r>
    <x v="11"/>
    <x v="0"/>
    <x v="0"/>
    <n v="316"/>
    <n v="3.66"/>
    <n v="13"/>
    <n v="335822"/>
  </r>
  <r>
    <x v="11"/>
    <x v="0"/>
    <x v="1"/>
    <n v="989"/>
    <n v="1.93"/>
    <n v="48"/>
    <n v="490129"/>
  </r>
  <r>
    <x v="11"/>
    <x v="0"/>
    <x v="2"/>
    <n v="405"/>
    <n v="1.74"/>
    <n v="26"/>
    <n v="290606"/>
  </r>
  <r>
    <x v="11"/>
    <x v="0"/>
    <x v="3"/>
    <n v="860"/>
    <n v="2.82"/>
    <n v="6"/>
    <n v="29442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s v="West"/>
    <x v="0"/>
    <x v="0"/>
    <s v="Industrial Buyer"/>
    <n v="419"/>
    <n v="1102"/>
    <n v="461738"/>
    <n v="370188.41"/>
    <n v="91549.59"/>
    <m/>
  </r>
  <r>
    <s v="ORD0002"/>
    <x v="1"/>
    <s v="North"/>
    <x v="0"/>
    <x v="1"/>
    <s v="Industrial Buyer"/>
    <n v="112"/>
    <n v="1489"/>
    <n v="166768"/>
    <n v="122267.32"/>
    <n v="44500.68"/>
    <m/>
  </r>
  <r>
    <s v="ORD0003"/>
    <x v="2"/>
    <s v="North"/>
    <x v="0"/>
    <x v="2"/>
    <s v="Industrial Buyer"/>
    <n v="225"/>
    <n v="1219"/>
    <n v="274275"/>
    <n v="228808.68"/>
    <n v="45466.32"/>
    <m/>
  </r>
  <r>
    <s v="ORD0004"/>
    <x v="3"/>
    <s v="West"/>
    <x v="0"/>
    <x v="2"/>
    <s v="Retailer"/>
    <n v="440"/>
    <n v="831"/>
    <n v="365640"/>
    <n v="279000.93"/>
    <n v="86639.07"/>
    <m/>
  </r>
  <r>
    <s v="ORD0005"/>
    <x v="4"/>
    <s v="South"/>
    <x v="1"/>
    <x v="3"/>
    <s v="Industrial Buyer"/>
    <n v="184"/>
    <n v="1438"/>
    <n v="264592"/>
    <n v="218278.48"/>
    <n v="46313.52"/>
    <m/>
  </r>
  <r>
    <s v="ORD0006"/>
    <x v="5"/>
    <s v="North"/>
    <x v="2"/>
    <x v="4"/>
    <s v="Industrial Buyer"/>
    <n v="364"/>
    <n v="1061"/>
    <n v="386204"/>
    <n v="267737.2"/>
    <n v="118466.8"/>
    <m/>
  </r>
  <r>
    <s v="ORD0007"/>
    <x v="6"/>
    <s v="East"/>
    <x v="0"/>
    <x v="1"/>
    <s v="Distributor"/>
    <n v="360"/>
    <n v="452"/>
    <n v="162720"/>
    <n v="115199.2"/>
    <n v="47520.800000000003"/>
    <m/>
  </r>
  <r>
    <s v="ORD0008"/>
    <x v="7"/>
    <s v="East"/>
    <x v="0"/>
    <x v="1"/>
    <s v="Distributor"/>
    <n v="100"/>
    <n v="1468"/>
    <n v="146800"/>
    <n v="113480.4"/>
    <n v="33319.599999999999"/>
    <m/>
  </r>
  <r>
    <s v="ORD0009"/>
    <x v="8"/>
    <s v="South"/>
    <x v="0"/>
    <x v="1"/>
    <s v="Retailer"/>
    <n v="89"/>
    <n v="1146"/>
    <n v="101994"/>
    <n v="68210.259999999995"/>
    <n v="33783.74"/>
    <m/>
  </r>
  <r>
    <s v="ORD0010"/>
    <x v="9"/>
    <s v="East"/>
    <x v="0"/>
    <x v="1"/>
    <s v="Distributor"/>
    <n v="416"/>
    <n v="1105"/>
    <n v="459680"/>
    <n v="411093.68"/>
    <n v="48586.32"/>
    <m/>
  </r>
  <r>
    <s v="ORD0011"/>
    <x v="10"/>
    <s v="North"/>
    <x v="2"/>
    <x v="5"/>
    <s v="Retailer"/>
    <n v="302"/>
    <n v="446"/>
    <n v="134692"/>
    <n v="112575.15"/>
    <n v="22116.85"/>
    <m/>
  </r>
  <r>
    <s v="ORD0012"/>
    <x v="11"/>
    <s v="East"/>
    <x v="0"/>
    <x v="1"/>
    <s v="Retailer"/>
    <n v="266"/>
    <n v="1201"/>
    <n v="319466"/>
    <n v="234537.51"/>
    <n v="84928.49"/>
    <m/>
  </r>
  <r>
    <s v="ORD0013"/>
    <x v="12"/>
    <s v="South"/>
    <x v="3"/>
    <x v="6"/>
    <s v="Industrial Buyer"/>
    <n v="458"/>
    <n v="1318"/>
    <n v="603644"/>
    <n v="513410.36"/>
    <n v="90233.64"/>
    <m/>
  </r>
  <r>
    <s v="ORD0014"/>
    <x v="1"/>
    <s v="South"/>
    <x v="0"/>
    <x v="0"/>
    <s v="Distributor"/>
    <n v="444"/>
    <n v="581"/>
    <n v="257964"/>
    <n v="179571.38"/>
    <n v="78392.62"/>
    <m/>
  </r>
  <r>
    <s v="ORD0015"/>
    <x v="13"/>
    <s v="West"/>
    <x v="2"/>
    <x v="5"/>
    <s v="Retailer"/>
    <n v="499"/>
    <n v="1356"/>
    <n v="676644"/>
    <n v="586029.71"/>
    <n v="90614.29"/>
    <m/>
  </r>
  <r>
    <s v="ORD0016"/>
    <x v="14"/>
    <s v="East"/>
    <x v="0"/>
    <x v="1"/>
    <s v="Distributor"/>
    <n v="188"/>
    <n v="842"/>
    <n v="158296"/>
    <n v="124684.96"/>
    <n v="33611.040000000001"/>
    <m/>
  </r>
  <r>
    <s v="ORD0017"/>
    <x v="15"/>
    <s v="West"/>
    <x v="1"/>
    <x v="3"/>
    <s v="Distributor"/>
    <n v="214"/>
    <n v="689"/>
    <n v="147446"/>
    <n v="128905.25"/>
    <n v="18540.75"/>
    <m/>
  </r>
  <r>
    <s v="ORD0018"/>
    <x v="16"/>
    <s v="West"/>
    <x v="2"/>
    <x v="5"/>
    <s v="Retailer"/>
    <n v="420"/>
    <n v="1442"/>
    <n v="605640"/>
    <n v="517241.74"/>
    <n v="88398.26"/>
    <m/>
  </r>
  <r>
    <s v="ORD0019"/>
    <x v="17"/>
    <s v="South"/>
    <x v="2"/>
    <x v="4"/>
    <s v="Distributor"/>
    <n v="436"/>
    <n v="1077"/>
    <n v="469572"/>
    <n v="319467.11"/>
    <n v="150104.89000000001"/>
    <m/>
  </r>
  <r>
    <s v="ORD0020"/>
    <x v="18"/>
    <s v="West"/>
    <x v="1"/>
    <x v="3"/>
    <s v="Industrial Buyer"/>
    <n v="452"/>
    <n v="654"/>
    <n v="295608"/>
    <n v="196404.21"/>
    <n v="99203.79"/>
    <m/>
  </r>
  <r>
    <s v="ORD0021"/>
    <x v="19"/>
    <s v="East"/>
    <x v="1"/>
    <x v="7"/>
    <s v="Industrial Buyer"/>
    <n v="152"/>
    <n v="1147"/>
    <n v="174344"/>
    <n v="125026.47"/>
    <n v="49317.53"/>
    <m/>
  </r>
  <r>
    <s v="ORD0022"/>
    <x v="20"/>
    <s v="South"/>
    <x v="2"/>
    <x v="4"/>
    <s v="Distributor"/>
    <n v="338"/>
    <n v="483"/>
    <n v="163254"/>
    <n v="114039.93"/>
    <n v="49214.07"/>
    <m/>
  </r>
  <r>
    <s v="ORD0023"/>
    <x v="21"/>
    <s v="North"/>
    <x v="1"/>
    <x v="7"/>
    <s v="Industrial Buyer"/>
    <n v="228"/>
    <n v="1260"/>
    <n v="287280"/>
    <n v="229353.85"/>
    <n v="57926.15"/>
    <m/>
  </r>
  <r>
    <s v="ORD0024"/>
    <x v="22"/>
    <s v="South"/>
    <x v="3"/>
    <x v="6"/>
    <s v="Industrial Buyer"/>
    <n v="395"/>
    <n v="767"/>
    <n v="302965"/>
    <n v="244993.68"/>
    <n v="57971.32"/>
    <m/>
  </r>
  <r>
    <s v="ORD0025"/>
    <x v="23"/>
    <s v="North"/>
    <x v="0"/>
    <x v="1"/>
    <s v="Industrial Buyer"/>
    <n v="207"/>
    <n v="1259"/>
    <n v="260613"/>
    <n v="233973.92"/>
    <n v="26639.08"/>
    <m/>
  </r>
  <r>
    <s v="ORD0026"/>
    <x v="24"/>
    <s v="East"/>
    <x v="0"/>
    <x v="0"/>
    <s v="Distributor"/>
    <n v="358"/>
    <n v="1359"/>
    <n v="486522"/>
    <n v="428183.71"/>
    <n v="58338.29"/>
    <m/>
  </r>
  <r>
    <s v="ORD0027"/>
    <x v="25"/>
    <s v="North"/>
    <x v="1"/>
    <x v="3"/>
    <s v="Retailer"/>
    <n v="81"/>
    <n v="1189"/>
    <n v="96309"/>
    <n v="65569.63"/>
    <n v="30739.37"/>
    <m/>
  </r>
  <r>
    <s v="ORD0028"/>
    <x v="26"/>
    <s v="West"/>
    <x v="1"/>
    <x v="3"/>
    <s v="Retailer"/>
    <n v="188"/>
    <n v="1243"/>
    <n v="233684"/>
    <n v="180023.66"/>
    <n v="53660.34"/>
    <m/>
  </r>
  <r>
    <s v="ORD0029"/>
    <x v="27"/>
    <s v="South"/>
    <x v="2"/>
    <x v="4"/>
    <s v="Retailer"/>
    <n v="43"/>
    <n v="1418"/>
    <n v="60974"/>
    <n v="53898.26"/>
    <n v="7075.74"/>
    <m/>
  </r>
  <r>
    <s v="ORD0030"/>
    <x v="28"/>
    <s v="West"/>
    <x v="0"/>
    <x v="2"/>
    <s v="Industrial Buyer"/>
    <n v="460"/>
    <n v="468"/>
    <n v="215280"/>
    <n v="192419.18"/>
    <n v="22860.82"/>
    <m/>
  </r>
  <r>
    <s v="ORD0031"/>
    <x v="29"/>
    <s v="North"/>
    <x v="2"/>
    <x v="4"/>
    <s v="Industrial Buyer"/>
    <n v="264"/>
    <n v="1077"/>
    <n v="284328"/>
    <n v="184915.34"/>
    <n v="99412.66"/>
    <m/>
  </r>
  <r>
    <s v="ORD0032"/>
    <x v="30"/>
    <s v="South"/>
    <x v="0"/>
    <x v="1"/>
    <s v="Industrial Buyer"/>
    <n v="449"/>
    <n v="1058"/>
    <n v="475042"/>
    <n v="412583.91"/>
    <n v="62458.09"/>
    <m/>
  </r>
  <r>
    <s v="ORD0033"/>
    <x v="31"/>
    <s v="North"/>
    <x v="1"/>
    <x v="7"/>
    <s v="Distributor"/>
    <n v="238"/>
    <n v="1110"/>
    <n v="264180"/>
    <n v="189920.54"/>
    <n v="74259.460000000006"/>
    <m/>
  </r>
  <r>
    <s v="ORD0034"/>
    <x v="32"/>
    <s v="North"/>
    <x v="2"/>
    <x v="4"/>
    <s v="Industrial Buyer"/>
    <n v="296"/>
    <n v="770"/>
    <n v="227920"/>
    <n v="186757.05"/>
    <n v="41162.949999999997"/>
    <m/>
  </r>
  <r>
    <s v="ORD0035"/>
    <x v="15"/>
    <s v="South"/>
    <x v="2"/>
    <x v="4"/>
    <s v="Retailer"/>
    <n v="46"/>
    <n v="1269"/>
    <n v="58374"/>
    <n v="49957.55"/>
    <n v="8416.4500000000007"/>
    <m/>
  </r>
  <r>
    <s v="ORD0036"/>
    <x v="33"/>
    <s v="West"/>
    <x v="2"/>
    <x v="4"/>
    <s v="Retailer"/>
    <n v="56"/>
    <n v="665"/>
    <n v="37240"/>
    <n v="26821.29"/>
    <n v="10418.709999999999"/>
    <m/>
  </r>
  <r>
    <s v="ORD0037"/>
    <x v="34"/>
    <s v="East"/>
    <x v="0"/>
    <x v="1"/>
    <s v="Distributor"/>
    <n v="405"/>
    <n v="595"/>
    <n v="240975"/>
    <n v="204241.18"/>
    <n v="36733.82"/>
    <m/>
  </r>
  <r>
    <s v="ORD0038"/>
    <x v="35"/>
    <s v="North"/>
    <x v="1"/>
    <x v="3"/>
    <s v="Industrial Buyer"/>
    <n v="328"/>
    <n v="638"/>
    <n v="209264"/>
    <n v="154268.98000000001"/>
    <n v="54995.02"/>
    <m/>
  </r>
  <r>
    <s v="ORD0039"/>
    <x v="36"/>
    <s v="South"/>
    <x v="2"/>
    <x v="4"/>
    <s v="Industrial Buyer"/>
    <n v="307"/>
    <n v="1408"/>
    <n v="432256"/>
    <n v="385372.45"/>
    <n v="46883.55"/>
    <m/>
  </r>
  <r>
    <s v="ORD0040"/>
    <x v="37"/>
    <s v="West"/>
    <x v="0"/>
    <x v="1"/>
    <s v="Distributor"/>
    <n v="69"/>
    <n v="905"/>
    <n v="62445"/>
    <n v="55023.57"/>
    <n v="7421.43"/>
    <m/>
  </r>
  <r>
    <s v="ORD0041"/>
    <x v="30"/>
    <s v="West"/>
    <x v="0"/>
    <x v="0"/>
    <s v="Industrial Buyer"/>
    <n v="466"/>
    <n v="899"/>
    <n v="418934"/>
    <n v="375266.1"/>
    <n v="43667.9"/>
    <m/>
  </r>
  <r>
    <s v="ORD0042"/>
    <x v="38"/>
    <s v="North"/>
    <x v="2"/>
    <x v="4"/>
    <s v="Distributor"/>
    <n v="227"/>
    <n v="671"/>
    <n v="152317"/>
    <n v="106910.47"/>
    <n v="45406.53"/>
    <m/>
  </r>
  <r>
    <s v="ORD0043"/>
    <x v="39"/>
    <s v="North"/>
    <x v="2"/>
    <x v="5"/>
    <s v="Distributor"/>
    <n v="271"/>
    <n v="750"/>
    <n v="203250"/>
    <n v="148102.39000000001"/>
    <n v="55147.61"/>
    <m/>
  </r>
  <r>
    <s v="ORD0044"/>
    <x v="40"/>
    <s v="North"/>
    <x v="2"/>
    <x v="4"/>
    <s v="Industrial Buyer"/>
    <n v="119"/>
    <n v="1167"/>
    <n v="138873"/>
    <n v="119807.69"/>
    <n v="19065.310000000001"/>
    <m/>
  </r>
  <r>
    <s v="ORD0045"/>
    <x v="41"/>
    <s v="North"/>
    <x v="2"/>
    <x v="5"/>
    <s v="Distributor"/>
    <n v="423"/>
    <n v="1359"/>
    <n v="574857"/>
    <n v="501254.75"/>
    <n v="73602.25"/>
    <m/>
  </r>
  <r>
    <s v="ORD0046"/>
    <x v="42"/>
    <s v="South"/>
    <x v="3"/>
    <x v="8"/>
    <s v="Retailer"/>
    <n v="133"/>
    <n v="1365"/>
    <n v="181545"/>
    <n v="142998.57"/>
    <n v="38546.43"/>
    <m/>
  </r>
  <r>
    <s v="ORD0047"/>
    <x v="43"/>
    <s v="North"/>
    <x v="0"/>
    <x v="2"/>
    <s v="Industrial Buyer"/>
    <n v="441"/>
    <n v="845"/>
    <n v="372645"/>
    <n v="299861.77"/>
    <n v="72783.23"/>
    <m/>
  </r>
  <r>
    <s v="ORD0048"/>
    <x v="44"/>
    <s v="North"/>
    <x v="2"/>
    <x v="5"/>
    <s v="Distributor"/>
    <n v="314"/>
    <n v="1273"/>
    <n v="399722"/>
    <n v="351153.2"/>
    <n v="48568.800000000003"/>
    <m/>
  </r>
  <r>
    <s v="ORD0049"/>
    <x v="45"/>
    <s v="South"/>
    <x v="0"/>
    <x v="1"/>
    <s v="Distributor"/>
    <n v="159"/>
    <n v="1154"/>
    <n v="183486"/>
    <n v="137517.26"/>
    <n v="45968.74"/>
    <m/>
  </r>
  <r>
    <s v="ORD0050"/>
    <x v="46"/>
    <s v="East"/>
    <x v="3"/>
    <x v="6"/>
    <s v="Retailer"/>
    <n v="251"/>
    <n v="1388"/>
    <n v="348388"/>
    <n v="229682.2"/>
    <n v="118705.8"/>
    <m/>
  </r>
  <r>
    <s v="ORD0051"/>
    <x v="47"/>
    <s v="East"/>
    <x v="0"/>
    <x v="0"/>
    <s v="Retailer"/>
    <n v="260"/>
    <n v="1364"/>
    <n v="354640"/>
    <n v="303461.96999999997"/>
    <n v="51178.03"/>
    <m/>
  </r>
  <r>
    <s v="ORD0052"/>
    <x v="48"/>
    <s v="East"/>
    <x v="0"/>
    <x v="0"/>
    <s v="Retailer"/>
    <n v="397"/>
    <n v="1072"/>
    <n v="425584"/>
    <n v="372650.23"/>
    <n v="52933.77"/>
    <m/>
  </r>
  <r>
    <s v="ORD0053"/>
    <x v="2"/>
    <s v="South"/>
    <x v="1"/>
    <x v="3"/>
    <s v="Retailer"/>
    <n v="131"/>
    <n v="1456"/>
    <n v="190736"/>
    <n v="158572.88"/>
    <n v="32163.119999999999"/>
    <m/>
  </r>
  <r>
    <s v="ORD0054"/>
    <x v="49"/>
    <s v="East"/>
    <x v="3"/>
    <x v="8"/>
    <s v="Retailer"/>
    <n v="492"/>
    <n v="600"/>
    <n v="295200"/>
    <n v="252874.39"/>
    <n v="42325.61"/>
    <m/>
  </r>
  <r>
    <s v="ORD0055"/>
    <x v="50"/>
    <s v="East"/>
    <x v="1"/>
    <x v="3"/>
    <s v="Retailer"/>
    <n v="441"/>
    <n v="1060"/>
    <n v="467460"/>
    <n v="396802.04"/>
    <n v="70657.960000000006"/>
    <m/>
  </r>
  <r>
    <s v="ORD0056"/>
    <x v="51"/>
    <s v="East"/>
    <x v="1"/>
    <x v="7"/>
    <s v="Distributor"/>
    <n v="358"/>
    <n v="566"/>
    <n v="202628"/>
    <n v="145518.74"/>
    <n v="57109.26"/>
    <m/>
  </r>
  <r>
    <s v="ORD0057"/>
    <x v="52"/>
    <s v="South"/>
    <x v="1"/>
    <x v="3"/>
    <s v="Distributor"/>
    <n v="200"/>
    <n v="1092"/>
    <n v="218400"/>
    <n v="163239.59"/>
    <n v="55160.41"/>
    <m/>
  </r>
  <r>
    <s v="ORD0058"/>
    <x v="53"/>
    <s v="North"/>
    <x v="2"/>
    <x v="4"/>
    <s v="Distributor"/>
    <n v="135"/>
    <n v="471"/>
    <n v="63585"/>
    <n v="42779.27"/>
    <n v="20805.73"/>
    <m/>
  </r>
  <r>
    <s v="ORD0059"/>
    <x v="54"/>
    <s v="West"/>
    <x v="2"/>
    <x v="5"/>
    <s v="Retailer"/>
    <n v="213"/>
    <n v="661"/>
    <n v="140793"/>
    <n v="95855.96"/>
    <n v="44937.04"/>
    <m/>
  </r>
  <r>
    <s v="ORD0060"/>
    <x v="55"/>
    <s v="East"/>
    <x v="0"/>
    <x v="1"/>
    <s v="Industrial Buyer"/>
    <n v="57"/>
    <n v="1034"/>
    <n v="58938"/>
    <n v="45662.13"/>
    <n v="13275.87"/>
    <m/>
  </r>
  <r>
    <s v="ORD0061"/>
    <x v="56"/>
    <s v="North"/>
    <x v="0"/>
    <x v="0"/>
    <s v="Retailer"/>
    <n v="233"/>
    <n v="1301"/>
    <n v="303133"/>
    <n v="245099.81"/>
    <n v="58033.19"/>
    <m/>
  </r>
  <r>
    <s v="ORD0062"/>
    <x v="57"/>
    <s v="North"/>
    <x v="3"/>
    <x v="6"/>
    <s v="Distributor"/>
    <n v="79"/>
    <n v="988"/>
    <n v="78052"/>
    <n v="61260.87"/>
    <n v="16791.13"/>
    <m/>
  </r>
  <r>
    <s v="ORD0063"/>
    <x v="58"/>
    <s v="West"/>
    <x v="0"/>
    <x v="2"/>
    <s v="Distributor"/>
    <n v="89"/>
    <n v="700"/>
    <n v="62300"/>
    <n v="41954.52"/>
    <n v="20345.48"/>
    <m/>
  </r>
  <r>
    <s v="ORD0064"/>
    <x v="59"/>
    <s v="West"/>
    <x v="3"/>
    <x v="8"/>
    <s v="Distributor"/>
    <n v="411"/>
    <n v="1176"/>
    <n v="483336"/>
    <n v="350961.16"/>
    <n v="132374.84"/>
    <m/>
  </r>
  <r>
    <s v="ORD0065"/>
    <x v="60"/>
    <s v="South"/>
    <x v="3"/>
    <x v="6"/>
    <s v="Retailer"/>
    <n v="265"/>
    <n v="775"/>
    <n v="205375"/>
    <n v="154342.51"/>
    <n v="51032.49"/>
    <m/>
  </r>
  <r>
    <s v="ORD0066"/>
    <x v="61"/>
    <s v="North"/>
    <x v="2"/>
    <x v="5"/>
    <s v="Distributor"/>
    <n v="373"/>
    <n v="990"/>
    <n v="369270"/>
    <n v="322373.61"/>
    <n v="46896.39"/>
    <m/>
  </r>
  <r>
    <s v="ORD0067"/>
    <x v="62"/>
    <s v="West"/>
    <x v="2"/>
    <x v="5"/>
    <s v="Distributor"/>
    <n v="439"/>
    <n v="771"/>
    <n v="338469"/>
    <n v="243402"/>
    <n v="95067"/>
    <m/>
  </r>
  <r>
    <s v="ORD0068"/>
    <x v="63"/>
    <s v="South"/>
    <x v="1"/>
    <x v="7"/>
    <s v="Distributor"/>
    <n v="446"/>
    <n v="1411"/>
    <n v="629306"/>
    <n v="482104.43"/>
    <n v="147201.57"/>
    <m/>
  </r>
  <r>
    <s v="ORD0069"/>
    <x v="64"/>
    <s v="West"/>
    <x v="2"/>
    <x v="4"/>
    <s v="Retailer"/>
    <n v="380"/>
    <n v="1122"/>
    <n v="426360"/>
    <n v="302372.84999999998"/>
    <n v="123987.15"/>
    <m/>
  </r>
  <r>
    <s v="ORD0070"/>
    <x v="65"/>
    <s v="South"/>
    <x v="0"/>
    <x v="2"/>
    <s v="Industrial Buyer"/>
    <n v="267"/>
    <n v="1241"/>
    <n v="331347"/>
    <n v="291526.65999999997"/>
    <n v="39820.339999999997"/>
    <m/>
  </r>
  <r>
    <s v="ORD0071"/>
    <x v="66"/>
    <s v="West"/>
    <x v="1"/>
    <x v="3"/>
    <s v="Retailer"/>
    <n v="438"/>
    <n v="551"/>
    <n v="241338"/>
    <n v="174797.67"/>
    <n v="66540.33"/>
    <m/>
  </r>
  <r>
    <s v="ORD0072"/>
    <x v="35"/>
    <s v="South"/>
    <x v="1"/>
    <x v="3"/>
    <s v="Industrial Buyer"/>
    <n v="82"/>
    <n v="773"/>
    <n v="63386"/>
    <n v="53743.15"/>
    <n v="9642.85"/>
    <m/>
  </r>
  <r>
    <s v="ORD0073"/>
    <x v="12"/>
    <s v="West"/>
    <x v="2"/>
    <x v="5"/>
    <s v="Retailer"/>
    <n v="51"/>
    <n v="1185"/>
    <n v="60435"/>
    <n v="47046.39"/>
    <n v="13388.61"/>
    <m/>
  </r>
  <r>
    <s v="ORD0074"/>
    <x v="67"/>
    <s v="East"/>
    <x v="1"/>
    <x v="3"/>
    <s v="Retailer"/>
    <n v="269"/>
    <n v="1208"/>
    <n v="324952"/>
    <n v="260678.67"/>
    <n v="64273.33"/>
    <m/>
  </r>
  <r>
    <s v="ORD0075"/>
    <x v="68"/>
    <s v="South"/>
    <x v="1"/>
    <x v="7"/>
    <s v="Retailer"/>
    <n v="219"/>
    <n v="883"/>
    <n v="193377"/>
    <n v="168273.65"/>
    <n v="25103.35"/>
    <m/>
  </r>
  <r>
    <s v="ORD0076"/>
    <x v="69"/>
    <s v="South"/>
    <x v="0"/>
    <x v="1"/>
    <s v="Industrial Buyer"/>
    <n v="227"/>
    <n v="429"/>
    <n v="97383"/>
    <n v="75336.67"/>
    <n v="22046.33"/>
    <m/>
  </r>
  <r>
    <s v="ORD0077"/>
    <x v="70"/>
    <s v="North"/>
    <x v="2"/>
    <x v="4"/>
    <s v="Industrial Buyer"/>
    <n v="251"/>
    <n v="684"/>
    <n v="171684"/>
    <n v="114426.91"/>
    <n v="57257.09"/>
    <m/>
  </r>
  <r>
    <s v="ORD0078"/>
    <x v="71"/>
    <s v="North"/>
    <x v="0"/>
    <x v="0"/>
    <s v="Distributor"/>
    <n v="433"/>
    <n v="767"/>
    <n v="332111"/>
    <n v="260514.17"/>
    <n v="71596.83"/>
    <m/>
  </r>
  <r>
    <s v="ORD0079"/>
    <x v="72"/>
    <s v="South"/>
    <x v="3"/>
    <x v="6"/>
    <s v="Industrial Buyer"/>
    <n v="72"/>
    <n v="892"/>
    <n v="64224"/>
    <n v="50700.21"/>
    <n v="13523.79"/>
    <m/>
  </r>
  <r>
    <s v="ORD0080"/>
    <x v="73"/>
    <s v="North"/>
    <x v="2"/>
    <x v="5"/>
    <s v="Distributor"/>
    <n v="45"/>
    <n v="424"/>
    <n v="19080"/>
    <n v="16459.3"/>
    <n v="2620.6999999999998"/>
    <m/>
  </r>
  <r>
    <s v="ORD0081"/>
    <x v="74"/>
    <s v="West"/>
    <x v="2"/>
    <x v="4"/>
    <s v="Industrial Buyer"/>
    <n v="39"/>
    <n v="1214"/>
    <n v="47346"/>
    <n v="36078.53"/>
    <n v="11267.47"/>
    <m/>
  </r>
  <r>
    <s v="ORD0082"/>
    <x v="75"/>
    <s v="North"/>
    <x v="1"/>
    <x v="3"/>
    <s v="Industrial Buyer"/>
    <n v="244"/>
    <n v="1357"/>
    <n v="331108"/>
    <n v="288101.3"/>
    <n v="43006.7"/>
    <m/>
  </r>
  <r>
    <s v="ORD0083"/>
    <x v="76"/>
    <s v="South"/>
    <x v="0"/>
    <x v="1"/>
    <s v="Industrial Buyer"/>
    <n v="73"/>
    <n v="1401"/>
    <n v="102273"/>
    <n v="78585.31"/>
    <n v="23687.69"/>
    <m/>
  </r>
  <r>
    <s v="ORD0084"/>
    <x v="77"/>
    <s v="East"/>
    <x v="1"/>
    <x v="7"/>
    <s v="Industrial Buyer"/>
    <n v="214"/>
    <n v="1093"/>
    <n v="233902"/>
    <n v="167605.76999999999"/>
    <n v="66296.23"/>
    <m/>
  </r>
  <r>
    <s v="ORD0085"/>
    <x v="78"/>
    <s v="West"/>
    <x v="3"/>
    <x v="8"/>
    <s v="Retailer"/>
    <n v="202"/>
    <n v="1313"/>
    <n v="265226"/>
    <n v="203150.36"/>
    <n v="62075.64"/>
    <m/>
  </r>
  <r>
    <s v="ORD0086"/>
    <x v="48"/>
    <s v="East"/>
    <x v="3"/>
    <x v="6"/>
    <s v="Industrial Buyer"/>
    <n v="440"/>
    <n v="1024"/>
    <n v="450560"/>
    <n v="395143.29"/>
    <n v="55416.71"/>
    <m/>
  </r>
  <r>
    <s v="ORD0087"/>
    <x v="5"/>
    <s v="East"/>
    <x v="1"/>
    <x v="7"/>
    <s v="Distributor"/>
    <n v="270"/>
    <n v="515"/>
    <n v="139050"/>
    <n v="94725.32"/>
    <n v="44324.68"/>
    <m/>
  </r>
  <r>
    <s v="ORD0088"/>
    <x v="79"/>
    <s v="West"/>
    <x v="3"/>
    <x v="8"/>
    <s v="Industrial Buyer"/>
    <n v="242"/>
    <n v="1042"/>
    <n v="252164"/>
    <n v="210848.4"/>
    <n v="41315.599999999999"/>
    <m/>
  </r>
  <r>
    <s v="ORD0089"/>
    <x v="80"/>
    <s v="East"/>
    <x v="2"/>
    <x v="4"/>
    <s v="Distributor"/>
    <n v="217"/>
    <n v="1432"/>
    <n v="310744"/>
    <n v="225432.58"/>
    <n v="85311.42"/>
    <m/>
  </r>
  <r>
    <s v="ORD0090"/>
    <x v="81"/>
    <s v="North"/>
    <x v="1"/>
    <x v="7"/>
    <s v="Distributor"/>
    <n v="235"/>
    <n v="996"/>
    <n v="234060"/>
    <n v="186422.12"/>
    <n v="47637.88"/>
    <m/>
  </r>
  <r>
    <s v="ORD0091"/>
    <x v="82"/>
    <s v="East"/>
    <x v="0"/>
    <x v="0"/>
    <s v="Industrial Buyer"/>
    <n v="250"/>
    <n v="844"/>
    <n v="211000"/>
    <n v="175077.54"/>
    <n v="35922.46"/>
    <m/>
  </r>
  <r>
    <s v="ORD0092"/>
    <x v="83"/>
    <s v="East"/>
    <x v="0"/>
    <x v="2"/>
    <s v="Industrial Buyer"/>
    <n v="402"/>
    <n v="539"/>
    <n v="216678"/>
    <n v="156569.72"/>
    <n v="60108.28"/>
    <m/>
  </r>
  <r>
    <s v="ORD0093"/>
    <x v="84"/>
    <s v="North"/>
    <x v="0"/>
    <x v="1"/>
    <s v="Industrial Buyer"/>
    <n v="81"/>
    <n v="1404"/>
    <n v="113724"/>
    <n v="87773.33"/>
    <n v="25950.67"/>
    <m/>
  </r>
  <r>
    <s v="ORD0094"/>
    <x v="85"/>
    <s v="East"/>
    <x v="0"/>
    <x v="2"/>
    <s v="Distributor"/>
    <n v="209"/>
    <n v="1429"/>
    <n v="298661"/>
    <n v="263102.59000000003"/>
    <n v="35558.410000000003"/>
    <m/>
  </r>
  <r>
    <s v="ORD0095"/>
    <x v="86"/>
    <s v="West"/>
    <x v="1"/>
    <x v="7"/>
    <s v="Industrial Buyer"/>
    <n v="449"/>
    <n v="1170"/>
    <n v="525330"/>
    <n v="369025.12"/>
    <n v="156304.88"/>
    <m/>
  </r>
  <r>
    <s v="ORD0096"/>
    <x v="87"/>
    <s v="West"/>
    <x v="3"/>
    <x v="6"/>
    <s v="Industrial Buyer"/>
    <n v="256"/>
    <n v="1355"/>
    <n v="346880"/>
    <n v="281936.62"/>
    <n v="64943.38"/>
    <m/>
  </r>
  <r>
    <s v="ORD0097"/>
    <x v="65"/>
    <s v="West"/>
    <x v="0"/>
    <x v="2"/>
    <s v="Distributor"/>
    <n v="175"/>
    <n v="700"/>
    <n v="122500"/>
    <n v="86989.95"/>
    <n v="35510.050000000003"/>
    <m/>
  </r>
  <r>
    <s v="ORD0098"/>
    <x v="88"/>
    <s v="East"/>
    <x v="1"/>
    <x v="3"/>
    <s v="Distributor"/>
    <n v="325"/>
    <n v="903"/>
    <n v="293475"/>
    <n v="208832.59"/>
    <n v="84642.41"/>
    <m/>
  </r>
  <r>
    <s v="ORD0099"/>
    <x v="82"/>
    <s v="West"/>
    <x v="3"/>
    <x v="8"/>
    <s v="Industrial Buyer"/>
    <n v="59"/>
    <n v="1177"/>
    <n v="69443"/>
    <n v="60178.080000000002"/>
    <n v="9264.92"/>
    <m/>
  </r>
  <r>
    <s v="ORD0100"/>
    <x v="89"/>
    <s v="East"/>
    <x v="2"/>
    <x v="4"/>
    <s v="Industrial Buyer"/>
    <n v="319"/>
    <n v="1099"/>
    <n v="350581"/>
    <n v="277926.90999999997"/>
    <n v="72654.09"/>
    <m/>
  </r>
  <r>
    <s v="ORD0101"/>
    <x v="90"/>
    <s v="East"/>
    <x v="1"/>
    <x v="7"/>
    <s v="Distributor"/>
    <n v="256"/>
    <n v="1337"/>
    <n v="342272"/>
    <n v="279366.2"/>
    <n v="62905.8"/>
    <m/>
  </r>
  <r>
    <s v="ORD0102"/>
    <x v="91"/>
    <s v="West"/>
    <x v="3"/>
    <x v="6"/>
    <s v="Retailer"/>
    <n v="103"/>
    <n v="1279"/>
    <n v="131737"/>
    <n v="91781.9"/>
    <n v="39955.1"/>
    <m/>
  </r>
  <r>
    <s v="ORD0103"/>
    <x v="92"/>
    <s v="South"/>
    <x v="3"/>
    <x v="6"/>
    <s v="Distributor"/>
    <n v="218"/>
    <n v="1119"/>
    <n v="243942"/>
    <n v="172148.02"/>
    <n v="71793.98"/>
    <m/>
  </r>
  <r>
    <s v="ORD0104"/>
    <x v="93"/>
    <s v="East"/>
    <x v="0"/>
    <x v="2"/>
    <s v="Retailer"/>
    <n v="80"/>
    <n v="942"/>
    <n v="75360"/>
    <n v="65404.959999999999"/>
    <n v="9955.0400000000009"/>
    <m/>
  </r>
  <r>
    <s v="ORD0105"/>
    <x v="91"/>
    <s v="West"/>
    <x v="3"/>
    <x v="8"/>
    <s v="Distributor"/>
    <n v="403"/>
    <n v="1029"/>
    <n v="414687"/>
    <n v="370666.73"/>
    <n v="44020.27"/>
    <m/>
  </r>
  <r>
    <s v="ORD0106"/>
    <x v="63"/>
    <s v="East"/>
    <x v="2"/>
    <x v="4"/>
    <s v="Retailer"/>
    <n v="91"/>
    <n v="1010"/>
    <n v="91910"/>
    <n v="76814.16"/>
    <n v="15095.84"/>
    <m/>
  </r>
  <r>
    <s v="ORD0107"/>
    <x v="55"/>
    <s v="East"/>
    <x v="0"/>
    <x v="1"/>
    <s v="Distributor"/>
    <n v="300"/>
    <n v="801"/>
    <n v="240300"/>
    <n v="180717.33"/>
    <n v="59582.67"/>
    <m/>
  </r>
  <r>
    <s v="ORD0108"/>
    <x v="90"/>
    <s v="East"/>
    <x v="2"/>
    <x v="5"/>
    <s v="Retailer"/>
    <n v="295"/>
    <n v="1144"/>
    <n v="337480"/>
    <n v="231340.32"/>
    <n v="106139.68"/>
    <m/>
  </r>
  <r>
    <s v="ORD0109"/>
    <x v="78"/>
    <s v="West"/>
    <x v="0"/>
    <x v="2"/>
    <s v="Industrial Buyer"/>
    <n v="112"/>
    <n v="770"/>
    <n v="86240"/>
    <n v="63892.15"/>
    <n v="22347.85"/>
    <m/>
  </r>
  <r>
    <s v="ORD0110"/>
    <x v="94"/>
    <s v="West"/>
    <x v="2"/>
    <x v="4"/>
    <s v="Retailer"/>
    <n v="333"/>
    <n v="585"/>
    <n v="194805"/>
    <n v="144361.15"/>
    <n v="50443.85"/>
    <m/>
  </r>
  <r>
    <s v="ORD0111"/>
    <x v="95"/>
    <s v="West"/>
    <x v="0"/>
    <x v="0"/>
    <s v="Industrial Buyer"/>
    <n v="234"/>
    <n v="697"/>
    <n v="163098"/>
    <n v="120316.03"/>
    <n v="42781.97"/>
    <m/>
  </r>
  <r>
    <s v="ORD0112"/>
    <x v="96"/>
    <s v="South"/>
    <x v="1"/>
    <x v="7"/>
    <s v="Industrial Buyer"/>
    <n v="482"/>
    <n v="679"/>
    <n v="327278"/>
    <n v="224790.56"/>
    <n v="102487.44"/>
    <m/>
  </r>
  <r>
    <s v="ORD0113"/>
    <x v="97"/>
    <s v="North"/>
    <x v="2"/>
    <x v="4"/>
    <s v="Industrial Buyer"/>
    <n v="270"/>
    <n v="1276"/>
    <n v="344520"/>
    <n v="271554.12"/>
    <n v="72965.88"/>
    <m/>
  </r>
  <r>
    <s v="ORD0114"/>
    <x v="98"/>
    <s v="North"/>
    <x v="0"/>
    <x v="1"/>
    <s v="Industrial Buyer"/>
    <n v="47"/>
    <n v="1071"/>
    <n v="50337"/>
    <n v="33233.33"/>
    <n v="17103.669999999998"/>
    <m/>
  </r>
  <r>
    <s v="ORD0115"/>
    <x v="53"/>
    <s v="East"/>
    <x v="0"/>
    <x v="1"/>
    <s v="Distributor"/>
    <n v="126"/>
    <n v="351"/>
    <n v="44226"/>
    <n v="38167.269999999997"/>
    <n v="6058.73"/>
    <m/>
  </r>
  <r>
    <s v="ORD0116"/>
    <x v="64"/>
    <s v="South"/>
    <x v="2"/>
    <x v="5"/>
    <s v="Retailer"/>
    <n v="395"/>
    <n v="510"/>
    <n v="201450"/>
    <n v="172787.94"/>
    <n v="28662.06"/>
    <m/>
  </r>
  <r>
    <s v="ORD0117"/>
    <x v="44"/>
    <s v="East"/>
    <x v="0"/>
    <x v="2"/>
    <s v="Industrial Buyer"/>
    <n v="443"/>
    <n v="564"/>
    <n v="249852"/>
    <n v="177136.61"/>
    <n v="72715.39"/>
    <m/>
  </r>
  <r>
    <s v="ORD0118"/>
    <x v="58"/>
    <s v="North"/>
    <x v="0"/>
    <x v="1"/>
    <s v="Retailer"/>
    <n v="57"/>
    <n v="980"/>
    <n v="55860"/>
    <n v="48040.86"/>
    <n v="7819.14"/>
    <m/>
  </r>
  <r>
    <s v="ORD0119"/>
    <x v="99"/>
    <s v="North"/>
    <x v="2"/>
    <x v="4"/>
    <s v="Distributor"/>
    <n v="386"/>
    <n v="490"/>
    <n v="189140"/>
    <n v="146835.79"/>
    <n v="42304.21"/>
    <m/>
  </r>
  <r>
    <s v="ORD0120"/>
    <x v="100"/>
    <s v="North"/>
    <x v="0"/>
    <x v="2"/>
    <s v="Distributor"/>
    <n v="413"/>
    <n v="756"/>
    <n v="312228"/>
    <n v="250592.47"/>
    <n v="61635.53"/>
    <m/>
  </r>
  <r>
    <s v="ORD0121"/>
    <x v="101"/>
    <s v="North"/>
    <x v="3"/>
    <x v="8"/>
    <s v="Retailer"/>
    <n v="490"/>
    <n v="1103"/>
    <n v="540470"/>
    <n v="392536.41"/>
    <n v="147933.59"/>
    <m/>
  </r>
  <r>
    <s v="ORD0122"/>
    <x v="102"/>
    <s v="South"/>
    <x v="1"/>
    <x v="7"/>
    <s v="Distributor"/>
    <n v="333"/>
    <n v="438"/>
    <n v="145854"/>
    <n v="108368.27"/>
    <n v="37485.730000000003"/>
    <m/>
  </r>
  <r>
    <s v="ORD0123"/>
    <x v="43"/>
    <s v="East"/>
    <x v="3"/>
    <x v="8"/>
    <s v="Industrial Buyer"/>
    <n v="25"/>
    <n v="607"/>
    <n v="15175"/>
    <n v="13113.26"/>
    <n v="2061.7399999999998"/>
    <m/>
  </r>
  <r>
    <s v="ORD0124"/>
    <x v="103"/>
    <s v="West"/>
    <x v="1"/>
    <x v="3"/>
    <s v="Retailer"/>
    <n v="219"/>
    <n v="600"/>
    <n v="131400"/>
    <n v="114588.14"/>
    <n v="16811.86"/>
    <m/>
  </r>
  <r>
    <s v="ORD0125"/>
    <x v="104"/>
    <s v="West"/>
    <x v="3"/>
    <x v="8"/>
    <s v="Retailer"/>
    <n v="189"/>
    <n v="1177"/>
    <n v="222453"/>
    <n v="167545.19"/>
    <n v="54907.81"/>
    <m/>
  </r>
  <r>
    <s v="ORD0126"/>
    <x v="105"/>
    <s v="West"/>
    <x v="2"/>
    <x v="5"/>
    <s v="Industrial Buyer"/>
    <n v="370"/>
    <n v="932"/>
    <n v="344840"/>
    <n v="283202.61"/>
    <n v="61637.39"/>
    <m/>
  </r>
  <r>
    <s v="ORD0127"/>
    <x v="106"/>
    <s v="East"/>
    <x v="2"/>
    <x v="5"/>
    <s v="Retailer"/>
    <n v="27"/>
    <n v="1412"/>
    <n v="38124"/>
    <n v="33697.24"/>
    <n v="4426.76"/>
    <m/>
  </r>
  <r>
    <s v="ORD0128"/>
    <x v="107"/>
    <s v="West"/>
    <x v="1"/>
    <x v="3"/>
    <s v="Retailer"/>
    <n v="270"/>
    <n v="979"/>
    <n v="264330"/>
    <n v="200208.03"/>
    <n v="64121.97"/>
    <m/>
  </r>
  <r>
    <s v="ORD0129"/>
    <x v="108"/>
    <s v="East"/>
    <x v="3"/>
    <x v="8"/>
    <s v="Retailer"/>
    <n v="136"/>
    <n v="613"/>
    <n v="83368"/>
    <n v="62813.58"/>
    <n v="20554.419999999998"/>
    <m/>
  </r>
  <r>
    <s v="ORD0130"/>
    <x v="109"/>
    <s v="West"/>
    <x v="1"/>
    <x v="7"/>
    <s v="Retailer"/>
    <n v="429"/>
    <n v="1344"/>
    <n v="576576"/>
    <n v="419842.25"/>
    <n v="156733.75"/>
    <m/>
  </r>
  <r>
    <s v="ORD0131"/>
    <x v="110"/>
    <s v="South"/>
    <x v="1"/>
    <x v="7"/>
    <s v="Distributor"/>
    <n v="212"/>
    <n v="611"/>
    <n v="129532"/>
    <n v="108011.98"/>
    <n v="21520.02"/>
    <m/>
  </r>
  <r>
    <s v="ORD0132"/>
    <x v="79"/>
    <s v="West"/>
    <x v="2"/>
    <x v="4"/>
    <s v="Distributor"/>
    <n v="358"/>
    <n v="1043"/>
    <n v="373394"/>
    <n v="330875.71000000002"/>
    <n v="42518.29"/>
    <m/>
  </r>
  <r>
    <s v="ORD0133"/>
    <x v="111"/>
    <s v="North"/>
    <x v="2"/>
    <x v="5"/>
    <s v="Distributor"/>
    <n v="21"/>
    <n v="1313"/>
    <n v="27573"/>
    <n v="24086.22"/>
    <n v="3486.78"/>
    <m/>
  </r>
  <r>
    <s v="ORD0134"/>
    <x v="112"/>
    <s v="West"/>
    <x v="2"/>
    <x v="4"/>
    <s v="Retailer"/>
    <n v="279"/>
    <n v="1142"/>
    <n v="318618"/>
    <n v="216763.47"/>
    <n v="101854.53"/>
    <m/>
  </r>
  <r>
    <s v="ORD0135"/>
    <x v="113"/>
    <s v="East"/>
    <x v="0"/>
    <x v="0"/>
    <s v="Industrial Buyer"/>
    <n v="308"/>
    <n v="1335"/>
    <n v="411180"/>
    <n v="273288.69"/>
    <n v="137891.31"/>
    <m/>
  </r>
  <r>
    <s v="ORD0136"/>
    <x v="114"/>
    <s v="West"/>
    <x v="1"/>
    <x v="7"/>
    <s v="Retailer"/>
    <n v="107"/>
    <n v="584"/>
    <n v="62488"/>
    <n v="50740.62"/>
    <n v="11747.38"/>
    <m/>
  </r>
  <r>
    <s v="ORD0137"/>
    <x v="115"/>
    <s v="West"/>
    <x v="2"/>
    <x v="4"/>
    <s v="Distributor"/>
    <n v="359"/>
    <n v="921"/>
    <n v="330639"/>
    <n v="273344.3"/>
    <n v="57294.7"/>
    <m/>
  </r>
  <r>
    <s v="ORD0138"/>
    <x v="116"/>
    <s v="West"/>
    <x v="2"/>
    <x v="5"/>
    <s v="Retailer"/>
    <n v="241"/>
    <n v="976"/>
    <n v="235216"/>
    <n v="211274.41"/>
    <n v="23941.59"/>
    <m/>
  </r>
  <r>
    <s v="ORD0139"/>
    <x v="117"/>
    <s v="North"/>
    <x v="0"/>
    <x v="1"/>
    <s v="Retailer"/>
    <n v="193"/>
    <n v="958"/>
    <n v="184894"/>
    <n v="164272.75"/>
    <n v="20621.25"/>
    <m/>
  </r>
  <r>
    <s v="ORD0140"/>
    <x v="118"/>
    <s v="West"/>
    <x v="2"/>
    <x v="5"/>
    <s v="Retailer"/>
    <n v="317"/>
    <n v="1229"/>
    <n v="389593"/>
    <n v="275470.51"/>
    <n v="114122.49"/>
    <m/>
  </r>
  <r>
    <s v="ORD0141"/>
    <x v="6"/>
    <s v="North"/>
    <x v="1"/>
    <x v="3"/>
    <s v="Retailer"/>
    <n v="323"/>
    <n v="1461"/>
    <n v="471903"/>
    <n v="422483.26"/>
    <n v="49419.74"/>
    <m/>
  </r>
  <r>
    <s v="ORD0142"/>
    <x v="119"/>
    <s v="North"/>
    <x v="1"/>
    <x v="3"/>
    <s v="Retailer"/>
    <n v="250"/>
    <n v="1233"/>
    <n v="308250"/>
    <n v="271107.87"/>
    <n v="37142.129999999997"/>
    <m/>
  </r>
  <r>
    <s v="ORD0143"/>
    <x v="120"/>
    <s v="North"/>
    <x v="1"/>
    <x v="3"/>
    <s v="Distributor"/>
    <n v="267"/>
    <n v="1442"/>
    <n v="385014"/>
    <n v="278861.26"/>
    <n v="106152.74"/>
    <m/>
  </r>
  <r>
    <s v="ORD0144"/>
    <x v="121"/>
    <s v="East"/>
    <x v="2"/>
    <x v="5"/>
    <s v="Distributor"/>
    <n v="244"/>
    <n v="1265"/>
    <n v="308660"/>
    <n v="220831.87"/>
    <n v="87828.13"/>
    <m/>
  </r>
  <r>
    <s v="ORD0145"/>
    <x v="122"/>
    <s v="West"/>
    <x v="1"/>
    <x v="3"/>
    <s v="Distributor"/>
    <n v="180"/>
    <n v="982"/>
    <n v="176760"/>
    <n v="128765.29"/>
    <n v="47994.71"/>
    <m/>
  </r>
  <r>
    <s v="ORD0146"/>
    <x v="123"/>
    <s v="West"/>
    <x v="3"/>
    <x v="6"/>
    <s v="Retailer"/>
    <n v="150"/>
    <n v="445"/>
    <n v="66750"/>
    <n v="56658.13"/>
    <n v="10091.870000000001"/>
    <m/>
  </r>
  <r>
    <s v="ORD0147"/>
    <x v="124"/>
    <s v="West"/>
    <x v="3"/>
    <x v="8"/>
    <s v="Retailer"/>
    <n v="167"/>
    <n v="522"/>
    <n v="87174"/>
    <n v="58031.5"/>
    <n v="29142.5"/>
    <m/>
  </r>
  <r>
    <s v="ORD0148"/>
    <x v="125"/>
    <s v="East"/>
    <x v="3"/>
    <x v="6"/>
    <s v="Distributor"/>
    <n v="229"/>
    <n v="493"/>
    <n v="112897"/>
    <n v="88871.56"/>
    <n v="24025.439999999999"/>
    <m/>
  </r>
  <r>
    <s v="ORD0149"/>
    <x v="0"/>
    <s v="North"/>
    <x v="2"/>
    <x v="5"/>
    <s v="Retailer"/>
    <n v="340"/>
    <n v="601"/>
    <n v="204340"/>
    <n v="175878.98"/>
    <n v="28461.02"/>
    <m/>
  </r>
  <r>
    <s v="ORD0150"/>
    <x v="126"/>
    <s v="West"/>
    <x v="2"/>
    <x v="5"/>
    <s v="Retailer"/>
    <n v="276"/>
    <n v="1110"/>
    <n v="306360"/>
    <n v="224775.31"/>
    <n v="81584.69"/>
    <m/>
  </r>
  <r>
    <s v="ORD0151"/>
    <x v="127"/>
    <s v="West"/>
    <x v="2"/>
    <x v="5"/>
    <s v="Retailer"/>
    <n v="295"/>
    <n v="1072"/>
    <n v="316240"/>
    <n v="269196.45"/>
    <n v="47043.55"/>
    <m/>
  </r>
  <r>
    <s v="ORD0152"/>
    <x v="128"/>
    <s v="East"/>
    <x v="2"/>
    <x v="5"/>
    <s v="Retailer"/>
    <n v="303"/>
    <n v="1467"/>
    <n v="444501"/>
    <n v="300138.78000000003"/>
    <n v="144362.22"/>
    <m/>
  </r>
  <r>
    <s v="ORD0153"/>
    <x v="129"/>
    <s v="North"/>
    <x v="3"/>
    <x v="6"/>
    <s v="Distributor"/>
    <n v="76"/>
    <n v="576"/>
    <n v="43776"/>
    <n v="35692.730000000003"/>
    <n v="8083.27"/>
    <m/>
  </r>
  <r>
    <s v="ORD0154"/>
    <x v="130"/>
    <s v="North"/>
    <x v="3"/>
    <x v="6"/>
    <s v="Distributor"/>
    <n v="304"/>
    <n v="706"/>
    <n v="214624"/>
    <n v="189598.65"/>
    <n v="25025.35"/>
    <m/>
  </r>
  <r>
    <s v="ORD0155"/>
    <x v="131"/>
    <s v="South"/>
    <x v="2"/>
    <x v="5"/>
    <s v="Distributor"/>
    <n v="217"/>
    <n v="1356"/>
    <n v="294252"/>
    <n v="252327.3"/>
    <n v="41924.699999999997"/>
    <m/>
  </r>
  <r>
    <s v="ORD0156"/>
    <x v="132"/>
    <s v="South"/>
    <x v="1"/>
    <x v="3"/>
    <s v="Industrial Buyer"/>
    <n v="124"/>
    <n v="934"/>
    <n v="115816"/>
    <n v="93651.09"/>
    <n v="22164.91"/>
    <m/>
  </r>
  <r>
    <s v="ORD0157"/>
    <x v="133"/>
    <s v="South"/>
    <x v="2"/>
    <x v="5"/>
    <s v="Distributor"/>
    <n v="367"/>
    <n v="933"/>
    <n v="342411"/>
    <n v="237927.09"/>
    <n v="104483.91"/>
    <m/>
  </r>
  <r>
    <s v="ORD0158"/>
    <x v="134"/>
    <s v="East"/>
    <x v="0"/>
    <x v="1"/>
    <s v="Industrial Buyer"/>
    <n v="307"/>
    <n v="1127"/>
    <n v="345989"/>
    <n v="285159.18"/>
    <n v="60829.82"/>
    <m/>
  </r>
  <r>
    <s v="ORD0159"/>
    <x v="135"/>
    <s v="East"/>
    <x v="3"/>
    <x v="6"/>
    <s v="Distributor"/>
    <n v="254"/>
    <n v="408"/>
    <n v="103632"/>
    <n v="79754.44"/>
    <n v="23877.56"/>
    <m/>
  </r>
  <r>
    <s v="ORD0160"/>
    <x v="61"/>
    <s v="East"/>
    <x v="3"/>
    <x v="8"/>
    <s v="Distributor"/>
    <n v="30"/>
    <n v="376"/>
    <n v="11280"/>
    <n v="9928.33"/>
    <n v="1351.67"/>
    <m/>
  </r>
  <r>
    <s v="ORD0161"/>
    <x v="35"/>
    <s v="South"/>
    <x v="0"/>
    <x v="2"/>
    <s v="Distributor"/>
    <n v="123"/>
    <n v="1346"/>
    <n v="165558"/>
    <n v="138947.47"/>
    <n v="26610.53"/>
    <m/>
  </r>
  <r>
    <s v="ORD0162"/>
    <x v="136"/>
    <s v="South"/>
    <x v="1"/>
    <x v="3"/>
    <s v="Distributor"/>
    <n v="468"/>
    <n v="1016"/>
    <n v="475488"/>
    <n v="324434.28000000003"/>
    <n v="151053.72"/>
    <m/>
  </r>
  <r>
    <s v="ORD0163"/>
    <x v="137"/>
    <s v="East"/>
    <x v="2"/>
    <x v="4"/>
    <s v="Distributor"/>
    <n v="57"/>
    <n v="543"/>
    <n v="30951"/>
    <n v="25822.68"/>
    <n v="5128.32"/>
    <m/>
  </r>
  <r>
    <s v="ORD0164"/>
    <x v="74"/>
    <s v="East"/>
    <x v="0"/>
    <x v="2"/>
    <s v="Retailer"/>
    <n v="187"/>
    <n v="796"/>
    <n v="148852"/>
    <n v="103814.11"/>
    <n v="45037.89"/>
    <m/>
  </r>
  <r>
    <s v="ORD0165"/>
    <x v="138"/>
    <s v="West"/>
    <x v="1"/>
    <x v="7"/>
    <s v="Distributor"/>
    <n v="42"/>
    <n v="1399"/>
    <n v="58758"/>
    <n v="50017.34"/>
    <n v="8740.66"/>
    <m/>
  </r>
  <r>
    <s v="ORD0166"/>
    <x v="139"/>
    <s v="West"/>
    <x v="3"/>
    <x v="6"/>
    <s v="Industrial Buyer"/>
    <n v="386"/>
    <n v="1043"/>
    <n v="402598"/>
    <n v="360019.08"/>
    <n v="42578.92"/>
    <m/>
  </r>
  <r>
    <s v="ORD0167"/>
    <x v="140"/>
    <s v="North"/>
    <x v="3"/>
    <x v="6"/>
    <s v="Retailer"/>
    <n v="22"/>
    <n v="1494"/>
    <n v="32868"/>
    <n v="29481.23"/>
    <n v="3386.77"/>
    <m/>
  </r>
  <r>
    <s v="ORD0168"/>
    <x v="141"/>
    <s v="North"/>
    <x v="3"/>
    <x v="6"/>
    <s v="Industrial Buyer"/>
    <n v="384"/>
    <n v="1180"/>
    <n v="453120"/>
    <n v="309704.89"/>
    <n v="143415.10999999999"/>
    <m/>
  </r>
  <r>
    <s v="ORD0169"/>
    <x v="142"/>
    <s v="East"/>
    <x v="0"/>
    <x v="1"/>
    <s v="Retailer"/>
    <n v="379"/>
    <n v="1322"/>
    <n v="501038"/>
    <n v="347936.52"/>
    <n v="153101.48000000001"/>
    <m/>
  </r>
  <r>
    <s v="ORD0170"/>
    <x v="23"/>
    <s v="East"/>
    <x v="0"/>
    <x v="1"/>
    <s v="Industrial Buyer"/>
    <n v="262"/>
    <n v="569"/>
    <n v="149078"/>
    <n v="109734.6"/>
    <n v="39343.4"/>
    <m/>
  </r>
  <r>
    <s v="ORD0171"/>
    <x v="143"/>
    <s v="East"/>
    <x v="2"/>
    <x v="4"/>
    <s v="Retailer"/>
    <n v="329"/>
    <n v="945"/>
    <n v="310905"/>
    <n v="235719.27"/>
    <n v="75185.73"/>
    <m/>
  </r>
  <r>
    <s v="ORD0172"/>
    <x v="144"/>
    <s v="North"/>
    <x v="1"/>
    <x v="7"/>
    <s v="Industrial Buyer"/>
    <n v="106"/>
    <n v="1297"/>
    <n v="137482"/>
    <n v="103462.68"/>
    <n v="34019.32"/>
    <m/>
  </r>
  <r>
    <s v="ORD0173"/>
    <x v="145"/>
    <s v="South"/>
    <x v="1"/>
    <x v="3"/>
    <s v="Industrial Buyer"/>
    <n v="223"/>
    <n v="887"/>
    <n v="197801"/>
    <n v="139784.66"/>
    <n v="58016.34"/>
    <m/>
  </r>
  <r>
    <s v="ORD0174"/>
    <x v="133"/>
    <s v="East"/>
    <x v="3"/>
    <x v="8"/>
    <s v="Industrial Buyer"/>
    <n v="373"/>
    <n v="1349"/>
    <n v="503177"/>
    <n v="421561.33"/>
    <n v="81615.67"/>
    <m/>
  </r>
  <r>
    <s v="ORD0175"/>
    <x v="146"/>
    <s v="East"/>
    <x v="0"/>
    <x v="2"/>
    <s v="Retailer"/>
    <n v="256"/>
    <n v="1421"/>
    <n v="363776"/>
    <n v="246378.15"/>
    <n v="117397.85"/>
    <m/>
  </r>
  <r>
    <s v="ORD0176"/>
    <x v="147"/>
    <s v="North"/>
    <x v="2"/>
    <x v="4"/>
    <s v="Industrial Buyer"/>
    <n v="41"/>
    <n v="681"/>
    <n v="27921"/>
    <n v="18303.099999999999"/>
    <n v="9617.9"/>
    <m/>
  </r>
  <r>
    <s v="ORD0177"/>
    <x v="148"/>
    <s v="West"/>
    <x v="0"/>
    <x v="1"/>
    <s v="Retailer"/>
    <n v="252"/>
    <n v="1257"/>
    <n v="316764"/>
    <n v="211066.76"/>
    <n v="105697.24"/>
    <m/>
  </r>
  <r>
    <s v="ORD0178"/>
    <x v="149"/>
    <s v="West"/>
    <x v="3"/>
    <x v="8"/>
    <s v="Industrial Buyer"/>
    <n v="264"/>
    <n v="481"/>
    <n v="126984"/>
    <n v="103362.3"/>
    <n v="23621.7"/>
    <m/>
  </r>
  <r>
    <s v="ORD0179"/>
    <x v="148"/>
    <s v="South"/>
    <x v="0"/>
    <x v="0"/>
    <s v="Retailer"/>
    <n v="446"/>
    <n v="1148"/>
    <n v="512008"/>
    <n v="439175.54"/>
    <n v="72832.460000000006"/>
    <m/>
  </r>
  <r>
    <s v="ORD0180"/>
    <x v="150"/>
    <s v="West"/>
    <x v="3"/>
    <x v="6"/>
    <s v="Industrial Buyer"/>
    <n v="288"/>
    <n v="441"/>
    <n v="127008"/>
    <n v="103344.57"/>
    <n v="23663.43"/>
    <m/>
  </r>
  <r>
    <s v="ORD0181"/>
    <x v="151"/>
    <s v="South"/>
    <x v="1"/>
    <x v="7"/>
    <s v="Industrial Buyer"/>
    <n v="40"/>
    <n v="657"/>
    <n v="26280"/>
    <n v="21289.66"/>
    <n v="4990.34"/>
    <m/>
  </r>
  <r>
    <s v="ORD0182"/>
    <x v="152"/>
    <s v="South"/>
    <x v="2"/>
    <x v="5"/>
    <s v="Distributor"/>
    <n v="500"/>
    <n v="551"/>
    <n v="275500"/>
    <n v="239292.67"/>
    <n v="36207.33"/>
    <m/>
  </r>
  <r>
    <s v="ORD0183"/>
    <x v="153"/>
    <s v="West"/>
    <x v="2"/>
    <x v="5"/>
    <s v="Retailer"/>
    <n v="200"/>
    <n v="931"/>
    <n v="186200"/>
    <n v="137473.57"/>
    <n v="48726.43"/>
    <m/>
  </r>
  <r>
    <s v="ORD0184"/>
    <x v="154"/>
    <s v="West"/>
    <x v="0"/>
    <x v="1"/>
    <s v="Distributor"/>
    <n v="412"/>
    <n v="709"/>
    <n v="292108"/>
    <n v="232915.45"/>
    <n v="59192.55"/>
    <m/>
  </r>
  <r>
    <s v="ORD0185"/>
    <x v="133"/>
    <s v="East"/>
    <x v="1"/>
    <x v="7"/>
    <s v="Industrial Buyer"/>
    <n v="172"/>
    <n v="882"/>
    <n v="151704"/>
    <n v="109174.16"/>
    <n v="42529.84"/>
    <m/>
  </r>
  <r>
    <s v="ORD0186"/>
    <x v="155"/>
    <s v="West"/>
    <x v="3"/>
    <x v="8"/>
    <s v="Industrial Buyer"/>
    <n v="382"/>
    <n v="739"/>
    <n v="282298"/>
    <n v="229878.42"/>
    <n v="52419.58"/>
    <m/>
  </r>
  <r>
    <s v="ORD0187"/>
    <x v="106"/>
    <s v="East"/>
    <x v="1"/>
    <x v="3"/>
    <s v="Distributor"/>
    <n v="33"/>
    <n v="503"/>
    <n v="16599"/>
    <n v="11436.91"/>
    <n v="5162.09"/>
    <m/>
  </r>
  <r>
    <s v="ORD0188"/>
    <x v="113"/>
    <s v="East"/>
    <x v="1"/>
    <x v="7"/>
    <s v="Industrial Buyer"/>
    <n v="130"/>
    <n v="1198"/>
    <n v="155740"/>
    <n v="114291.83"/>
    <n v="41448.17"/>
    <m/>
  </r>
  <r>
    <s v="ORD0189"/>
    <x v="25"/>
    <s v="West"/>
    <x v="3"/>
    <x v="8"/>
    <s v="Distributor"/>
    <n v="174"/>
    <n v="422"/>
    <n v="73428"/>
    <n v="61854.6"/>
    <n v="11573.4"/>
    <m/>
  </r>
  <r>
    <s v="ORD0190"/>
    <x v="156"/>
    <s v="North"/>
    <x v="3"/>
    <x v="6"/>
    <s v="Retailer"/>
    <n v="278"/>
    <n v="600"/>
    <n v="166800"/>
    <n v="128876.56"/>
    <n v="37923.440000000002"/>
    <m/>
  </r>
  <r>
    <s v="ORD0191"/>
    <x v="157"/>
    <s v="North"/>
    <x v="3"/>
    <x v="6"/>
    <s v="Retailer"/>
    <n v="169"/>
    <n v="910"/>
    <n v="153790"/>
    <n v="120388.89"/>
    <n v="33401.11"/>
    <m/>
  </r>
  <r>
    <s v="ORD0192"/>
    <x v="100"/>
    <s v="East"/>
    <x v="2"/>
    <x v="4"/>
    <s v="Retailer"/>
    <n v="212"/>
    <n v="709"/>
    <n v="150308"/>
    <n v="111877.58"/>
    <n v="38430.42"/>
    <m/>
  </r>
  <r>
    <s v="ORD0193"/>
    <x v="12"/>
    <s v="East"/>
    <x v="3"/>
    <x v="6"/>
    <s v="Distributor"/>
    <n v="497"/>
    <n v="443"/>
    <n v="220171"/>
    <n v="195992.73"/>
    <n v="24178.27"/>
    <m/>
  </r>
  <r>
    <s v="ORD0194"/>
    <x v="146"/>
    <s v="South"/>
    <x v="1"/>
    <x v="3"/>
    <s v="Retailer"/>
    <n v="66"/>
    <n v="385"/>
    <n v="25410"/>
    <n v="19298.830000000002"/>
    <n v="6111.17"/>
    <m/>
  </r>
  <r>
    <s v="ORD0195"/>
    <x v="158"/>
    <s v="West"/>
    <x v="1"/>
    <x v="7"/>
    <s v="Industrial Buyer"/>
    <n v="168"/>
    <n v="1361"/>
    <n v="228648"/>
    <n v="205434.81"/>
    <n v="23213.19"/>
    <m/>
  </r>
  <r>
    <s v="ORD0196"/>
    <x v="120"/>
    <s v="West"/>
    <x v="0"/>
    <x v="0"/>
    <s v="Distributor"/>
    <n v="412"/>
    <n v="1119"/>
    <n v="461028"/>
    <n v="385128.5"/>
    <n v="75899.5"/>
    <m/>
  </r>
  <r>
    <s v="ORD0197"/>
    <x v="10"/>
    <s v="South"/>
    <x v="3"/>
    <x v="8"/>
    <s v="Retailer"/>
    <n v="428"/>
    <n v="529"/>
    <n v="226412"/>
    <n v="166554.98000000001"/>
    <n v="59857.02"/>
    <m/>
  </r>
  <r>
    <s v="ORD0198"/>
    <x v="159"/>
    <s v="North"/>
    <x v="0"/>
    <x v="1"/>
    <s v="Retailer"/>
    <n v="255"/>
    <n v="647"/>
    <n v="164985"/>
    <n v="110102.63"/>
    <n v="54882.37"/>
    <m/>
  </r>
  <r>
    <s v="ORD0199"/>
    <x v="63"/>
    <s v="West"/>
    <x v="0"/>
    <x v="0"/>
    <s v="Retailer"/>
    <n v="367"/>
    <n v="1081"/>
    <n v="396727"/>
    <n v="300308.65000000002"/>
    <n v="96418.35"/>
    <m/>
  </r>
  <r>
    <s v="ORD0200"/>
    <x v="15"/>
    <s v="North"/>
    <x v="2"/>
    <x v="5"/>
    <s v="Industrial Buyer"/>
    <n v="438"/>
    <n v="1151"/>
    <n v="504138"/>
    <n v="411621.31"/>
    <n v="92516.69"/>
    <m/>
  </r>
  <r>
    <s v="ORD0201"/>
    <x v="134"/>
    <s v="North"/>
    <x v="3"/>
    <x v="6"/>
    <s v="Distributor"/>
    <n v="311"/>
    <n v="838"/>
    <n v="260618"/>
    <n v="180563.61"/>
    <n v="80054.39"/>
    <m/>
  </r>
  <r>
    <s v="ORD0202"/>
    <x v="160"/>
    <s v="West"/>
    <x v="2"/>
    <x v="4"/>
    <s v="Retailer"/>
    <n v="300"/>
    <n v="1310"/>
    <n v="393000"/>
    <n v="297974.75"/>
    <n v="95025.25"/>
    <m/>
  </r>
  <r>
    <s v="ORD0203"/>
    <x v="161"/>
    <s v="East"/>
    <x v="1"/>
    <x v="7"/>
    <s v="Retailer"/>
    <n v="325"/>
    <n v="623"/>
    <n v="202475"/>
    <n v="167865.68"/>
    <n v="34609.32"/>
    <m/>
  </r>
  <r>
    <s v="ORD0204"/>
    <x v="162"/>
    <s v="East"/>
    <x v="2"/>
    <x v="5"/>
    <s v="Distributor"/>
    <n v="77"/>
    <n v="739"/>
    <n v="56903"/>
    <n v="44160.65"/>
    <n v="12742.35"/>
    <m/>
  </r>
  <r>
    <s v="ORD0205"/>
    <x v="163"/>
    <s v="North"/>
    <x v="3"/>
    <x v="6"/>
    <s v="Industrial Buyer"/>
    <n v="324"/>
    <n v="984"/>
    <n v="318816"/>
    <n v="258467.96"/>
    <n v="60348.04"/>
    <m/>
  </r>
  <r>
    <s v="ORD0206"/>
    <x v="85"/>
    <s v="East"/>
    <x v="0"/>
    <x v="2"/>
    <s v="Distributor"/>
    <n v="94"/>
    <n v="1420"/>
    <n v="133480"/>
    <n v="114843.52"/>
    <n v="18636.48"/>
    <m/>
  </r>
  <r>
    <s v="ORD0207"/>
    <x v="46"/>
    <s v="North"/>
    <x v="2"/>
    <x v="5"/>
    <s v="Industrial Buyer"/>
    <n v="415"/>
    <n v="634"/>
    <n v="263110"/>
    <n v="210672.77"/>
    <n v="52437.23"/>
    <m/>
  </r>
  <r>
    <s v="ORD0208"/>
    <x v="164"/>
    <s v="North"/>
    <x v="1"/>
    <x v="3"/>
    <s v="Industrial Buyer"/>
    <n v="349"/>
    <n v="1015"/>
    <n v="354235"/>
    <n v="238616.01"/>
    <n v="115618.99"/>
    <m/>
  </r>
  <r>
    <s v="ORD0209"/>
    <x v="165"/>
    <s v="South"/>
    <x v="2"/>
    <x v="5"/>
    <s v="Industrial Buyer"/>
    <n v="199"/>
    <n v="914"/>
    <n v="181886"/>
    <n v="119925.93"/>
    <n v="61960.07"/>
    <m/>
  </r>
  <r>
    <s v="ORD0210"/>
    <x v="166"/>
    <s v="West"/>
    <x v="1"/>
    <x v="3"/>
    <s v="Retailer"/>
    <n v="284"/>
    <n v="838"/>
    <n v="237992"/>
    <n v="181877.41"/>
    <n v="56114.59"/>
    <m/>
  </r>
  <r>
    <s v="ORD0211"/>
    <x v="147"/>
    <s v="West"/>
    <x v="3"/>
    <x v="8"/>
    <s v="Industrial Buyer"/>
    <n v="104"/>
    <n v="805"/>
    <n v="83720"/>
    <n v="66066.86"/>
    <n v="17653.14"/>
    <m/>
  </r>
  <r>
    <s v="ORD0212"/>
    <x v="148"/>
    <s v="East"/>
    <x v="3"/>
    <x v="6"/>
    <s v="Distributor"/>
    <n v="200"/>
    <n v="1500"/>
    <n v="300000"/>
    <n v="246698.78"/>
    <n v="53301.22"/>
    <m/>
  </r>
  <r>
    <s v="ORD0213"/>
    <x v="167"/>
    <s v="South"/>
    <x v="3"/>
    <x v="6"/>
    <s v="Industrial Buyer"/>
    <n v="447"/>
    <n v="1455"/>
    <n v="650385"/>
    <n v="536312.02"/>
    <n v="114072.98"/>
    <m/>
  </r>
  <r>
    <s v="ORD0214"/>
    <x v="168"/>
    <s v="South"/>
    <x v="2"/>
    <x v="4"/>
    <s v="Industrial Buyer"/>
    <n v="262"/>
    <n v="724"/>
    <n v="189688"/>
    <n v="145726.82"/>
    <n v="43961.18"/>
    <m/>
  </r>
  <r>
    <s v="ORD0215"/>
    <x v="3"/>
    <s v="South"/>
    <x v="2"/>
    <x v="4"/>
    <s v="Industrial Buyer"/>
    <n v="231"/>
    <n v="1198"/>
    <n v="276738"/>
    <n v="213316.47"/>
    <n v="63421.53"/>
    <m/>
  </r>
  <r>
    <s v="ORD0216"/>
    <x v="169"/>
    <s v="East"/>
    <x v="0"/>
    <x v="2"/>
    <s v="Distributor"/>
    <n v="462"/>
    <n v="868"/>
    <n v="401016"/>
    <n v="338594.87"/>
    <n v="62421.13"/>
    <m/>
  </r>
  <r>
    <s v="ORD0217"/>
    <x v="99"/>
    <s v="West"/>
    <x v="3"/>
    <x v="8"/>
    <s v="Distributor"/>
    <n v="440"/>
    <n v="959"/>
    <n v="421960"/>
    <n v="280220.32"/>
    <n v="141739.68"/>
    <m/>
  </r>
  <r>
    <s v="ORD0218"/>
    <x v="60"/>
    <s v="East"/>
    <x v="2"/>
    <x v="5"/>
    <s v="Retailer"/>
    <n v="310"/>
    <n v="1220"/>
    <n v="378200"/>
    <n v="266152.34999999998"/>
    <n v="112047.65"/>
    <m/>
  </r>
  <r>
    <s v="ORD0219"/>
    <x v="170"/>
    <s v="East"/>
    <x v="1"/>
    <x v="3"/>
    <s v="Retailer"/>
    <n v="221"/>
    <n v="656"/>
    <n v="144976"/>
    <n v="108713.22"/>
    <n v="36262.78"/>
    <m/>
  </r>
  <r>
    <s v="ORD0220"/>
    <x v="55"/>
    <s v="East"/>
    <x v="3"/>
    <x v="8"/>
    <s v="Distributor"/>
    <n v="376"/>
    <n v="1387"/>
    <n v="521512"/>
    <n v="466627.68"/>
    <n v="54884.32"/>
    <m/>
  </r>
  <r>
    <s v="ORD0221"/>
    <x v="171"/>
    <s v="North"/>
    <x v="1"/>
    <x v="7"/>
    <s v="Retailer"/>
    <n v="238"/>
    <n v="1383"/>
    <n v="329154"/>
    <n v="220796.66"/>
    <n v="108357.34"/>
    <m/>
  </r>
  <r>
    <s v="ORD0222"/>
    <x v="150"/>
    <s v="East"/>
    <x v="3"/>
    <x v="6"/>
    <s v="Distributor"/>
    <n v="425"/>
    <n v="802"/>
    <n v="340850"/>
    <n v="229420.97"/>
    <n v="111429.03"/>
    <m/>
  </r>
  <r>
    <s v="ORD0223"/>
    <x v="172"/>
    <s v="North"/>
    <x v="3"/>
    <x v="6"/>
    <s v="Retailer"/>
    <n v="355"/>
    <n v="1009"/>
    <n v="358195"/>
    <n v="239951.44"/>
    <n v="118243.56"/>
    <m/>
  </r>
  <r>
    <s v="ORD0224"/>
    <x v="173"/>
    <s v="West"/>
    <x v="2"/>
    <x v="4"/>
    <s v="Retailer"/>
    <n v="448"/>
    <n v="746"/>
    <n v="334208"/>
    <n v="262512.96000000002"/>
    <n v="71695.039999999994"/>
    <m/>
  </r>
  <r>
    <s v="ORD0225"/>
    <x v="174"/>
    <s v="West"/>
    <x v="1"/>
    <x v="3"/>
    <s v="Retailer"/>
    <n v="427"/>
    <n v="845"/>
    <n v="360815"/>
    <n v="304602.01"/>
    <n v="56212.99"/>
    <m/>
  </r>
  <r>
    <s v="ORD0226"/>
    <x v="175"/>
    <s v="South"/>
    <x v="2"/>
    <x v="5"/>
    <s v="Distributor"/>
    <n v="352"/>
    <n v="1493"/>
    <n v="525536"/>
    <n v="462814.79"/>
    <n v="62721.21"/>
    <m/>
  </r>
  <r>
    <s v="ORD0227"/>
    <x v="176"/>
    <s v="East"/>
    <x v="3"/>
    <x v="8"/>
    <s v="Industrial Buyer"/>
    <n v="386"/>
    <n v="1061"/>
    <n v="409546"/>
    <n v="271714.93"/>
    <n v="137831.07"/>
    <m/>
  </r>
  <r>
    <s v="ORD0228"/>
    <x v="177"/>
    <s v="East"/>
    <x v="0"/>
    <x v="0"/>
    <s v="Industrial Buyer"/>
    <n v="428"/>
    <n v="1369"/>
    <n v="585932"/>
    <n v="437188.14"/>
    <n v="148743.85999999999"/>
    <m/>
  </r>
  <r>
    <s v="ORD0229"/>
    <x v="158"/>
    <s v="East"/>
    <x v="3"/>
    <x v="6"/>
    <s v="Distributor"/>
    <n v="53"/>
    <n v="803"/>
    <n v="42559"/>
    <n v="33511.69"/>
    <n v="9047.31"/>
    <m/>
  </r>
  <r>
    <s v="ORD0230"/>
    <x v="178"/>
    <s v="South"/>
    <x v="2"/>
    <x v="4"/>
    <s v="Distributor"/>
    <n v="273"/>
    <n v="1458"/>
    <n v="398034"/>
    <n v="285063.40000000002"/>
    <n v="112970.6"/>
    <m/>
  </r>
  <r>
    <s v="ORD0231"/>
    <x v="179"/>
    <s v="West"/>
    <x v="0"/>
    <x v="0"/>
    <s v="Distributor"/>
    <n v="178"/>
    <n v="775"/>
    <n v="137950"/>
    <n v="97668.84"/>
    <n v="40281.160000000003"/>
    <m/>
  </r>
  <r>
    <s v="ORD0232"/>
    <x v="180"/>
    <s v="South"/>
    <x v="1"/>
    <x v="3"/>
    <s v="Industrial Buyer"/>
    <n v="199"/>
    <n v="1102"/>
    <n v="219298"/>
    <n v="164240.53"/>
    <n v="55057.47"/>
    <m/>
  </r>
  <r>
    <s v="ORD0233"/>
    <x v="176"/>
    <s v="East"/>
    <x v="1"/>
    <x v="3"/>
    <s v="Distributor"/>
    <n v="457"/>
    <n v="1404"/>
    <n v="641628"/>
    <n v="438710.2"/>
    <n v="202917.8"/>
    <m/>
  </r>
  <r>
    <s v="ORD0234"/>
    <x v="181"/>
    <s v="East"/>
    <x v="1"/>
    <x v="7"/>
    <s v="Retailer"/>
    <n v="62"/>
    <n v="573"/>
    <n v="35526"/>
    <n v="25394.05"/>
    <n v="10131.950000000001"/>
    <m/>
  </r>
  <r>
    <s v="ORD0235"/>
    <x v="182"/>
    <s v="South"/>
    <x v="3"/>
    <x v="8"/>
    <s v="Industrial Buyer"/>
    <n v="312"/>
    <n v="563"/>
    <n v="175656"/>
    <n v="154111.84"/>
    <n v="21544.16"/>
    <m/>
  </r>
  <r>
    <s v="ORD0236"/>
    <x v="183"/>
    <s v="East"/>
    <x v="3"/>
    <x v="6"/>
    <s v="Industrial Buyer"/>
    <n v="274"/>
    <n v="679"/>
    <n v="186046"/>
    <n v="160179.73000000001"/>
    <n v="25866.27"/>
    <m/>
  </r>
  <r>
    <s v="ORD0237"/>
    <x v="184"/>
    <s v="North"/>
    <x v="1"/>
    <x v="3"/>
    <s v="Industrial Buyer"/>
    <n v="211"/>
    <n v="953"/>
    <n v="201083"/>
    <n v="141224.28"/>
    <n v="59858.720000000001"/>
    <m/>
  </r>
  <r>
    <s v="ORD0238"/>
    <x v="185"/>
    <s v="East"/>
    <x v="2"/>
    <x v="5"/>
    <s v="Retailer"/>
    <n v="273"/>
    <n v="776"/>
    <n v="211848"/>
    <n v="156522.88"/>
    <n v="55325.120000000003"/>
    <m/>
  </r>
  <r>
    <s v="ORD0239"/>
    <x v="186"/>
    <s v="East"/>
    <x v="0"/>
    <x v="1"/>
    <s v="Distributor"/>
    <n v="476"/>
    <n v="512"/>
    <n v="243712"/>
    <n v="174702.03"/>
    <n v="69009.97"/>
    <m/>
  </r>
  <r>
    <s v="ORD0240"/>
    <x v="187"/>
    <s v="East"/>
    <x v="0"/>
    <x v="2"/>
    <s v="Retailer"/>
    <n v="284"/>
    <n v="881"/>
    <n v="250204"/>
    <n v="187041.56"/>
    <n v="63162.44"/>
    <m/>
  </r>
  <r>
    <s v="ORD0241"/>
    <x v="6"/>
    <s v="West"/>
    <x v="3"/>
    <x v="6"/>
    <s v="Retailer"/>
    <n v="194"/>
    <n v="622"/>
    <n v="120668"/>
    <n v="86405.69"/>
    <n v="34262.31"/>
    <m/>
  </r>
  <r>
    <s v="ORD0242"/>
    <x v="163"/>
    <s v="North"/>
    <x v="3"/>
    <x v="8"/>
    <s v="Industrial Buyer"/>
    <n v="500"/>
    <n v="1261"/>
    <n v="630500"/>
    <n v="440832.36"/>
    <n v="189667.64"/>
    <m/>
  </r>
  <r>
    <s v="ORD0243"/>
    <x v="188"/>
    <s v="South"/>
    <x v="2"/>
    <x v="4"/>
    <s v="Industrial Buyer"/>
    <n v="121"/>
    <n v="552"/>
    <n v="66792"/>
    <n v="46275.8"/>
    <n v="20516.2"/>
    <m/>
  </r>
  <r>
    <s v="ORD0244"/>
    <x v="189"/>
    <s v="West"/>
    <x v="3"/>
    <x v="8"/>
    <s v="Industrial Buyer"/>
    <n v="78"/>
    <n v="1103"/>
    <n v="86034"/>
    <n v="76960.350000000006"/>
    <n v="9073.65"/>
    <m/>
  </r>
  <r>
    <s v="ORD0245"/>
    <x v="95"/>
    <s v="West"/>
    <x v="2"/>
    <x v="5"/>
    <s v="Industrial Buyer"/>
    <n v="109"/>
    <n v="691"/>
    <n v="75319"/>
    <n v="64333.9"/>
    <n v="10985.1"/>
    <m/>
  </r>
  <r>
    <s v="ORD0246"/>
    <x v="190"/>
    <s v="East"/>
    <x v="2"/>
    <x v="5"/>
    <s v="Distributor"/>
    <n v="314"/>
    <n v="980"/>
    <n v="307720"/>
    <n v="201931.62"/>
    <n v="105788.38"/>
    <m/>
  </r>
  <r>
    <s v="ORD0247"/>
    <x v="84"/>
    <s v="South"/>
    <x v="1"/>
    <x v="7"/>
    <s v="Industrial Buyer"/>
    <n v="431"/>
    <n v="1178"/>
    <n v="507718"/>
    <n v="359234.86"/>
    <n v="148483.14000000001"/>
    <m/>
  </r>
  <r>
    <s v="ORD0248"/>
    <x v="191"/>
    <s v="North"/>
    <x v="3"/>
    <x v="6"/>
    <s v="Distributor"/>
    <n v="282"/>
    <n v="369"/>
    <n v="104058"/>
    <n v="83961.55"/>
    <n v="20096.45"/>
    <m/>
  </r>
  <r>
    <s v="ORD0249"/>
    <x v="192"/>
    <s v="North"/>
    <x v="0"/>
    <x v="0"/>
    <s v="Industrial Buyer"/>
    <n v="245"/>
    <n v="435"/>
    <n v="106575"/>
    <n v="86345.34"/>
    <n v="20229.66"/>
    <m/>
  </r>
  <r>
    <s v="ORD0250"/>
    <x v="193"/>
    <s v="East"/>
    <x v="2"/>
    <x v="5"/>
    <s v="Industrial Buyer"/>
    <n v="449"/>
    <n v="425"/>
    <n v="190825"/>
    <n v="135403.59"/>
    <n v="55421.41"/>
    <m/>
  </r>
  <r>
    <s v="ORD0251"/>
    <x v="13"/>
    <s v="North"/>
    <x v="3"/>
    <x v="6"/>
    <s v="Distributor"/>
    <n v="186"/>
    <n v="461"/>
    <n v="85746"/>
    <n v="57606.46"/>
    <n v="28139.54"/>
    <m/>
  </r>
  <r>
    <s v="ORD0252"/>
    <x v="170"/>
    <s v="South"/>
    <x v="0"/>
    <x v="0"/>
    <s v="Distributor"/>
    <n v="104"/>
    <n v="1427"/>
    <n v="148408"/>
    <n v="113865.81"/>
    <n v="34542.19"/>
    <m/>
  </r>
  <r>
    <s v="ORD0253"/>
    <x v="98"/>
    <s v="East"/>
    <x v="1"/>
    <x v="3"/>
    <s v="Industrial Buyer"/>
    <n v="365"/>
    <n v="868"/>
    <n v="316820"/>
    <n v="242229.56"/>
    <n v="74590.44"/>
    <m/>
  </r>
  <r>
    <s v="ORD0254"/>
    <x v="130"/>
    <s v="East"/>
    <x v="0"/>
    <x v="1"/>
    <s v="Industrial Buyer"/>
    <n v="228"/>
    <n v="1296"/>
    <n v="295488"/>
    <n v="221419.94"/>
    <n v="74068.06"/>
    <m/>
  </r>
  <r>
    <s v="ORD0255"/>
    <x v="194"/>
    <s v="West"/>
    <x v="0"/>
    <x v="1"/>
    <s v="Industrial Buyer"/>
    <n v="402"/>
    <n v="1350"/>
    <n v="542700"/>
    <n v="446561.85"/>
    <n v="96138.15"/>
    <m/>
  </r>
  <r>
    <s v="ORD0256"/>
    <x v="123"/>
    <s v="East"/>
    <x v="1"/>
    <x v="7"/>
    <s v="Industrial Buyer"/>
    <n v="485"/>
    <n v="708"/>
    <n v="343380"/>
    <n v="269528.82"/>
    <n v="73851.179999999993"/>
    <m/>
  </r>
  <r>
    <s v="ORD0257"/>
    <x v="195"/>
    <s v="East"/>
    <x v="0"/>
    <x v="1"/>
    <s v="Industrial Buyer"/>
    <n v="242"/>
    <n v="983"/>
    <n v="237886"/>
    <n v="188193.29"/>
    <n v="49692.71"/>
    <m/>
  </r>
  <r>
    <s v="ORD0258"/>
    <x v="196"/>
    <s v="East"/>
    <x v="3"/>
    <x v="8"/>
    <s v="Industrial Buyer"/>
    <n v="71"/>
    <n v="1033"/>
    <n v="73343"/>
    <n v="61333.11"/>
    <n v="12009.89"/>
    <m/>
  </r>
  <r>
    <s v="ORD0259"/>
    <x v="49"/>
    <s v="North"/>
    <x v="3"/>
    <x v="6"/>
    <s v="Distributor"/>
    <n v="152"/>
    <n v="784"/>
    <n v="119168"/>
    <n v="102450.9"/>
    <n v="16717.099999999999"/>
    <m/>
  </r>
  <r>
    <s v="ORD0260"/>
    <x v="197"/>
    <s v="West"/>
    <x v="3"/>
    <x v="8"/>
    <s v="Distributor"/>
    <n v="146"/>
    <n v="834"/>
    <n v="121764"/>
    <n v="85323.1"/>
    <n v="36440.9"/>
    <m/>
  </r>
  <r>
    <s v="ORD0261"/>
    <x v="112"/>
    <s v="West"/>
    <x v="0"/>
    <x v="0"/>
    <s v="Retailer"/>
    <n v="476"/>
    <n v="1101"/>
    <n v="524076"/>
    <n v="405924.63"/>
    <n v="118151.37"/>
    <m/>
  </r>
  <r>
    <s v="ORD0262"/>
    <x v="74"/>
    <s v="East"/>
    <x v="0"/>
    <x v="2"/>
    <s v="Retailer"/>
    <n v="436"/>
    <n v="1376"/>
    <n v="599936"/>
    <n v="412566.79"/>
    <n v="187369.21"/>
    <m/>
  </r>
  <r>
    <s v="ORD0263"/>
    <x v="198"/>
    <s v="East"/>
    <x v="3"/>
    <x v="6"/>
    <s v="Distributor"/>
    <n v="451"/>
    <n v="894"/>
    <n v="403194"/>
    <n v="357629.52"/>
    <n v="45564.480000000003"/>
    <m/>
  </r>
  <r>
    <s v="ORD0264"/>
    <x v="155"/>
    <s v="South"/>
    <x v="2"/>
    <x v="4"/>
    <s v="Industrial Buyer"/>
    <n v="254"/>
    <n v="1068"/>
    <n v="271272"/>
    <n v="222862.46"/>
    <n v="48409.54"/>
    <m/>
  </r>
  <r>
    <s v="ORD0265"/>
    <x v="43"/>
    <s v="South"/>
    <x v="2"/>
    <x v="4"/>
    <s v="Retailer"/>
    <n v="139"/>
    <n v="733"/>
    <n v="101887"/>
    <n v="67290.77"/>
    <n v="34596.230000000003"/>
    <m/>
  </r>
  <r>
    <s v="ORD0266"/>
    <x v="199"/>
    <s v="North"/>
    <x v="3"/>
    <x v="8"/>
    <s v="Industrial Buyer"/>
    <n v="266"/>
    <n v="1460"/>
    <n v="388360"/>
    <n v="281969.39"/>
    <n v="106390.61"/>
    <m/>
  </r>
  <r>
    <s v="ORD0267"/>
    <x v="200"/>
    <s v="South"/>
    <x v="1"/>
    <x v="3"/>
    <s v="Retailer"/>
    <n v="46"/>
    <n v="928"/>
    <n v="42688"/>
    <n v="31857.52"/>
    <n v="10830.48"/>
    <m/>
  </r>
  <r>
    <s v="ORD0268"/>
    <x v="201"/>
    <s v="East"/>
    <x v="2"/>
    <x v="4"/>
    <s v="Retailer"/>
    <n v="451"/>
    <n v="1057"/>
    <n v="476707"/>
    <n v="373672.79"/>
    <n v="103034.21"/>
    <m/>
  </r>
  <r>
    <s v="ORD0269"/>
    <x v="116"/>
    <s v="South"/>
    <x v="2"/>
    <x v="5"/>
    <s v="Retailer"/>
    <n v="398"/>
    <n v="920"/>
    <n v="366160"/>
    <n v="255521.06"/>
    <n v="110638.94"/>
    <m/>
  </r>
  <r>
    <s v="ORD0270"/>
    <x v="202"/>
    <s v="North"/>
    <x v="3"/>
    <x v="8"/>
    <s v="Distributor"/>
    <n v="462"/>
    <n v="1058"/>
    <n v="488796"/>
    <n v="416581.92"/>
    <n v="72214.080000000002"/>
    <m/>
  </r>
  <r>
    <s v="ORD0271"/>
    <x v="55"/>
    <s v="East"/>
    <x v="3"/>
    <x v="6"/>
    <s v="Retailer"/>
    <n v="216"/>
    <n v="1292"/>
    <n v="279072"/>
    <n v="229502.82"/>
    <n v="49569.18"/>
    <m/>
  </r>
  <r>
    <s v="ORD0272"/>
    <x v="184"/>
    <s v="South"/>
    <x v="3"/>
    <x v="6"/>
    <s v="Industrial Buyer"/>
    <n v="421"/>
    <n v="1147"/>
    <n v="482887"/>
    <n v="348487.96"/>
    <n v="134399.04000000001"/>
    <m/>
  </r>
  <r>
    <s v="ORD0273"/>
    <x v="82"/>
    <s v="South"/>
    <x v="1"/>
    <x v="7"/>
    <s v="Industrial Buyer"/>
    <n v="75"/>
    <n v="443"/>
    <n v="33225"/>
    <n v="22354.18"/>
    <n v="10870.82"/>
    <m/>
  </r>
  <r>
    <s v="ORD0274"/>
    <x v="130"/>
    <s v="East"/>
    <x v="0"/>
    <x v="0"/>
    <s v="Industrial Buyer"/>
    <n v="300"/>
    <n v="1368"/>
    <n v="410400"/>
    <n v="286451.03999999998"/>
    <n v="123948.96"/>
    <m/>
  </r>
  <r>
    <s v="ORD0275"/>
    <x v="203"/>
    <s v="West"/>
    <x v="1"/>
    <x v="3"/>
    <s v="Distributor"/>
    <n v="200"/>
    <n v="515"/>
    <n v="103000"/>
    <n v="81880.100000000006"/>
    <n v="21119.9"/>
    <m/>
  </r>
  <r>
    <s v="ORD0276"/>
    <x v="204"/>
    <s v="East"/>
    <x v="0"/>
    <x v="1"/>
    <s v="Distributor"/>
    <n v="453"/>
    <n v="602"/>
    <n v="272706"/>
    <n v="194285.64"/>
    <n v="78420.36"/>
    <m/>
  </r>
  <r>
    <s v="ORD0277"/>
    <x v="31"/>
    <s v="West"/>
    <x v="3"/>
    <x v="8"/>
    <s v="Retailer"/>
    <n v="117"/>
    <n v="356"/>
    <n v="41652"/>
    <n v="28391.74"/>
    <n v="13260.26"/>
    <m/>
  </r>
  <r>
    <s v="ORD0278"/>
    <x v="65"/>
    <s v="West"/>
    <x v="3"/>
    <x v="8"/>
    <s v="Industrial Buyer"/>
    <n v="262"/>
    <n v="1099"/>
    <n v="287938"/>
    <n v="190400.91"/>
    <n v="97537.09"/>
    <m/>
  </r>
  <r>
    <s v="ORD0279"/>
    <x v="112"/>
    <s v="East"/>
    <x v="2"/>
    <x v="5"/>
    <s v="Industrial Buyer"/>
    <n v="180"/>
    <n v="544"/>
    <n v="97920"/>
    <n v="64594.879999999997"/>
    <n v="33325.120000000003"/>
    <m/>
  </r>
  <r>
    <s v="ORD0280"/>
    <x v="57"/>
    <s v="South"/>
    <x v="0"/>
    <x v="1"/>
    <s v="Distributor"/>
    <n v="23"/>
    <n v="1436"/>
    <n v="33028"/>
    <n v="27176.92"/>
    <n v="5851.08"/>
    <m/>
  </r>
  <r>
    <s v="ORD0281"/>
    <x v="205"/>
    <s v="North"/>
    <x v="1"/>
    <x v="7"/>
    <s v="Industrial Buyer"/>
    <n v="247"/>
    <n v="892"/>
    <n v="220324"/>
    <n v="155282.04999999999"/>
    <n v="65041.95"/>
    <m/>
  </r>
  <r>
    <s v="ORD0282"/>
    <x v="41"/>
    <s v="North"/>
    <x v="1"/>
    <x v="7"/>
    <s v="Retailer"/>
    <n v="70"/>
    <n v="1366"/>
    <n v="95620"/>
    <n v="84514.85"/>
    <n v="11105.15"/>
    <m/>
  </r>
  <r>
    <s v="ORD0283"/>
    <x v="193"/>
    <s v="East"/>
    <x v="1"/>
    <x v="3"/>
    <s v="Distributor"/>
    <n v="475"/>
    <n v="402"/>
    <n v="190950"/>
    <n v="141342.96"/>
    <n v="49607.040000000001"/>
    <m/>
  </r>
  <r>
    <s v="ORD0284"/>
    <x v="206"/>
    <s v="West"/>
    <x v="0"/>
    <x v="2"/>
    <s v="Retailer"/>
    <n v="275"/>
    <n v="1060"/>
    <n v="291500"/>
    <n v="195781.5"/>
    <n v="95718.5"/>
    <m/>
  </r>
  <r>
    <s v="ORD0285"/>
    <x v="187"/>
    <s v="North"/>
    <x v="3"/>
    <x v="8"/>
    <s v="Distributor"/>
    <n v="141"/>
    <n v="930"/>
    <n v="131130"/>
    <n v="92837.45"/>
    <n v="38292.550000000003"/>
    <m/>
  </r>
  <r>
    <s v="ORD0286"/>
    <x v="51"/>
    <s v="North"/>
    <x v="3"/>
    <x v="6"/>
    <s v="Distributor"/>
    <n v="196"/>
    <n v="434"/>
    <n v="85064"/>
    <n v="55975.519999999997"/>
    <n v="29088.48"/>
    <m/>
  </r>
  <r>
    <s v="ORD0287"/>
    <x v="150"/>
    <s v="West"/>
    <x v="3"/>
    <x v="8"/>
    <s v="Retailer"/>
    <n v="48"/>
    <n v="1298"/>
    <n v="62304"/>
    <n v="53714.58"/>
    <n v="8589.42"/>
    <m/>
  </r>
  <r>
    <s v="ORD0288"/>
    <x v="148"/>
    <s v="West"/>
    <x v="0"/>
    <x v="2"/>
    <s v="Industrial Buyer"/>
    <n v="188"/>
    <n v="1048"/>
    <n v="197024"/>
    <n v="176954.64"/>
    <n v="20069.36"/>
    <m/>
  </r>
  <r>
    <s v="ORD0289"/>
    <x v="77"/>
    <s v="East"/>
    <x v="1"/>
    <x v="3"/>
    <s v="Retailer"/>
    <n v="131"/>
    <n v="1109"/>
    <n v="145279"/>
    <n v="102815.87"/>
    <n v="42463.13"/>
    <m/>
  </r>
  <r>
    <s v="ORD0290"/>
    <x v="193"/>
    <s v="West"/>
    <x v="3"/>
    <x v="6"/>
    <s v="Industrial Buyer"/>
    <n v="496"/>
    <n v="986"/>
    <n v="489056"/>
    <n v="372780.77"/>
    <n v="116275.23"/>
    <m/>
  </r>
  <r>
    <s v="ORD0291"/>
    <x v="207"/>
    <s v="North"/>
    <x v="0"/>
    <x v="0"/>
    <s v="Retailer"/>
    <n v="499"/>
    <n v="563"/>
    <n v="280937"/>
    <n v="229358.2"/>
    <n v="51578.8"/>
    <m/>
  </r>
  <r>
    <s v="ORD0292"/>
    <x v="166"/>
    <s v="South"/>
    <x v="0"/>
    <x v="0"/>
    <s v="Industrial Buyer"/>
    <n v="349"/>
    <n v="420"/>
    <n v="146580"/>
    <n v="109245.59"/>
    <n v="37334.410000000003"/>
    <m/>
  </r>
  <r>
    <s v="ORD0293"/>
    <x v="208"/>
    <s v="West"/>
    <x v="0"/>
    <x v="0"/>
    <s v="Industrial Buyer"/>
    <n v="255"/>
    <n v="1296"/>
    <n v="330480"/>
    <n v="275492.21000000002"/>
    <n v="54987.79"/>
    <m/>
  </r>
  <r>
    <s v="ORD0294"/>
    <x v="26"/>
    <s v="West"/>
    <x v="3"/>
    <x v="6"/>
    <s v="Retailer"/>
    <n v="219"/>
    <n v="789"/>
    <n v="172791"/>
    <n v="148882.28"/>
    <n v="23908.720000000001"/>
    <m/>
  </r>
  <r>
    <s v="ORD0295"/>
    <x v="197"/>
    <s v="South"/>
    <x v="0"/>
    <x v="2"/>
    <s v="Retailer"/>
    <n v="258"/>
    <n v="880"/>
    <n v="227040"/>
    <n v="179499.99"/>
    <n v="47540.01"/>
    <m/>
  </r>
  <r>
    <s v="ORD0296"/>
    <x v="86"/>
    <s v="West"/>
    <x v="3"/>
    <x v="6"/>
    <s v="Industrial Buyer"/>
    <n v="88"/>
    <n v="1163"/>
    <n v="102344"/>
    <n v="69023.98"/>
    <n v="33320.019999999997"/>
    <m/>
  </r>
  <r>
    <s v="ORD0297"/>
    <x v="15"/>
    <s v="North"/>
    <x v="3"/>
    <x v="6"/>
    <s v="Distributor"/>
    <n v="105"/>
    <n v="941"/>
    <n v="98805"/>
    <n v="73205.429999999993"/>
    <n v="25599.57"/>
    <m/>
  </r>
  <r>
    <s v="ORD0298"/>
    <x v="44"/>
    <s v="North"/>
    <x v="3"/>
    <x v="8"/>
    <s v="Industrial Buyer"/>
    <n v="405"/>
    <n v="1478"/>
    <n v="598590"/>
    <n v="515115.92"/>
    <n v="83474.080000000002"/>
    <m/>
  </r>
  <r>
    <s v="ORD0299"/>
    <x v="209"/>
    <s v="East"/>
    <x v="1"/>
    <x v="3"/>
    <s v="Industrial Buyer"/>
    <n v="172"/>
    <n v="1134"/>
    <n v="195048"/>
    <n v="167069"/>
    <n v="27979"/>
    <m/>
  </r>
  <r>
    <s v="ORD0300"/>
    <x v="210"/>
    <s v="West"/>
    <x v="2"/>
    <x v="4"/>
    <s v="Distributor"/>
    <n v="65"/>
    <n v="430"/>
    <n v="27950"/>
    <n v="20127.18"/>
    <n v="7822.8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52021-99CD-43BA-9C5C-8611ABD983C9}" name="PivotTable1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numFmtId="14" showAll="0">
      <items count="212">
        <item x="128"/>
        <item x="58"/>
        <item x="210"/>
        <item x="106"/>
        <item x="209"/>
        <item x="151"/>
        <item x="5"/>
        <item x="60"/>
        <item x="93"/>
        <item x="111"/>
        <item x="9"/>
        <item x="207"/>
        <item x="63"/>
        <item x="94"/>
        <item x="70"/>
        <item x="118"/>
        <item x="87"/>
        <item x="186"/>
        <item x="108"/>
        <item x="154"/>
        <item x="33"/>
        <item x="102"/>
        <item x="83"/>
        <item x="152"/>
        <item x="169"/>
        <item x="67"/>
        <item x="113"/>
        <item x="35"/>
        <item x="96"/>
        <item x="107"/>
        <item x="120"/>
        <item x="200"/>
        <item x="2"/>
        <item x="6"/>
        <item x="178"/>
        <item x="24"/>
        <item x="82"/>
        <item x="155"/>
        <item x="4"/>
        <item x="188"/>
        <item x="11"/>
        <item x="39"/>
        <item x="146"/>
        <item x="138"/>
        <item x="1"/>
        <item x="26"/>
        <item x="166"/>
        <item x="22"/>
        <item x="86"/>
        <item x="143"/>
        <item x="92"/>
        <item x="201"/>
        <item x="62"/>
        <item x="37"/>
        <item x="56"/>
        <item x="177"/>
        <item x="109"/>
        <item x="28"/>
        <item x="168"/>
        <item x="130"/>
        <item x="15"/>
        <item x="64"/>
        <item x="184"/>
        <item x="164"/>
        <item x="73"/>
        <item x="52"/>
        <item x="194"/>
        <item x="203"/>
        <item x="21"/>
        <item x="23"/>
        <item x="145"/>
        <item x="95"/>
        <item x="121"/>
        <item x="105"/>
        <item x="136"/>
        <item x="123"/>
        <item x="29"/>
        <item x="97"/>
        <item x="17"/>
        <item x="117"/>
        <item x="99"/>
        <item x="20"/>
        <item x="55"/>
        <item x="51"/>
        <item x="202"/>
        <item x="199"/>
        <item x="81"/>
        <item x="27"/>
        <item x="101"/>
        <item x="135"/>
        <item x="112"/>
        <item x="116"/>
        <item x="181"/>
        <item x="197"/>
        <item x="172"/>
        <item x="148"/>
        <item x="80"/>
        <item x="163"/>
        <item x="25"/>
        <item x="77"/>
        <item x="50"/>
        <item x="193"/>
        <item x="131"/>
        <item x="179"/>
        <item x="54"/>
        <item x="158"/>
        <item x="88"/>
        <item x="114"/>
        <item x="157"/>
        <item x="127"/>
        <item x="176"/>
        <item x="66"/>
        <item x="195"/>
        <item x="98"/>
        <item x="183"/>
        <item x="74"/>
        <item x="160"/>
        <item x="149"/>
        <item x="12"/>
        <item x="144"/>
        <item x="119"/>
        <item x="19"/>
        <item x="30"/>
        <item x="142"/>
        <item x="159"/>
        <item x="122"/>
        <item x="206"/>
        <item x="198"/>
        <item x="137"/>
        <item x="100"/>
        <item x="167"/>
        <item x="161"/>
        <item x="47"/>
        <item x="40"/>
        <item x="44"/>
        <item x="38"/>
        <item x="156"/>
        <item x="196"/>
        <item x="185"/>
        <item x="170"/>
        <item x="204"/>
        <item x="85"/>
        <item x="36"/>
        <item x="49"/>
        <item x="89"/>
        <item x="129"/>
        <item x="110"/>
        <item x="48"/>
        <item x="191"/>
        <item x="10"/>
        <item x="147"/>
        <item x="14"/>
        <item x="71"/>
        <item x="126"/>
        <item x="59"/>
        <item x="133"/>
        <item x="190"/>
        <item x="91"/>
        <item x="7"/>
        <item x="141"/>
        <item x="31"/>
        <item x="171"/>
        <item x="140"/>
        <item x="162"/>
        <item x="84"/>
        <item x="139"/>
        <item x="72"/>
        <item x="75"/>
        <item x="16"/>
        <item x="45"/>
        <item x="175"/>
        <item x="3"/>
        <item x="65"/>
        <item x="104"/>
        <item x="46"/>
        <item x="34"/>
        <item x="76"/>
        <item x="192"/>
        <item x="18"/>
        <item x="0"/>
        <item x="189"/>
        <item x="165"/>
        <item x="134"/>
        <item x="61"/>
        <item x="153"/>
        <item x="68"/>
        <item x="53"/>
        <item x="78"/>
        <item x="57"/>
        <item x="115"/>
        <item x="103"/>
        <item x="125"/>
        <item x="187"/>
        <item x="132"/>
        <item x="32"/>
        <item x="182"/>
        <item x="205"/>
        <item x="208"/>
        <item x="42"/>
        <item x="8"/>
        <item x="13"/>
        <item x="41"/>
        <item x="173"/>
        <item x="124"/>
        <item x="174"/>
        <item x="69"/>
        <item x="79"/>
        <item x="150"/>
        <item x="180"/>
        <item x="90"/>
        <item x="43"/>
        <item t="default"/>
      </items>
    </pivotField>
    <pivotField showAll="0"/>
    <pivotField showAll="0">
      <items count="5">
        <item x="0"/>
        <item x="2"/>
        <item x="3"/>
        <item x="1"/>
        <item t="default"/>
      </items>
    </pivotField>
    <pivotField showAll="0"/>
    <pivotField showAll="0"/>
    <pivotField dataField="1" showAll="0"/>
    <pivotField numFmtId="164" showAll="0"/>
    <pivotField dataField="1" numFmtId="164" showAll="0"/>
    <pivotField dataField="1" numFmtId="44" showAll="0"/>
    <pivotField dataField="1" numFmtId="4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Sum of Sales_Amount" fld="8" baseField="0" baseItem="0" numFmtId="166"/>
    <dataField name="Sum of Quantity" fld="6" baseField="0" baseItem="0"/>
    <dataField name="Sum of Cost" fld="9" baseField="0" baseItem="0" numFmtId="167"/>
    <dataField name="Sum of Profit" fld="10" baseField="0" baseItem="0" numFmtId="167"/>
  </dataFields>
  <formats count="3">
    <format dxfId="87">
      <pivotArea outline="0" collapsedLevelsAreSubtotals="1" fieldPosition="0">
        <references count="1">
          <reference field="4294967294" count="1" selected="0">
            <x v="2"/>
          </reference>
        </references>
      </pivotArea>
    </format>
    <format dxfId="82">
      <pivotArea outline="0" collapsedLevelsAreSubtotals="1" fieldPosition="0">
        <references count="1">
          <reference field="4294967294" count="1" selected="0">
            <x v="3"/>
          </reference>
        </references>
      </pivotArea>
    </format>
    <format dxfId="7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16895-BF1E-468B-B565-6081BB0CFC25}" name="PivotTable2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5:B60" firstHeaderRow="1" firstDataRow="1" firstDataCol="1"/>
  <pivotFields count="15">
    <pivotField showAll="0"/>
    <pivotField numFmtId="14" showAll="0">
      <items count="212">
        <item x="128"/>
        <item x="58"/>
        <item x="210"/>
        <item x="106"/>
        <item x="209"/>
        <item x="151"/>
        <item x="5"/>
        <item x="60"/>
        <item x="93"/>
        <item x="111"/>
        <item x="9"/>
        <item x="207"/>
        <item x="63"/>
        <item x="94"/>
        <item x="70"/>
        <item x="118"/>
        <item x="87"/>
        <item x="186"/>
        <item x="108"/>
        <item x="154"/>
        <item x="33"/>
        <item x="102"/>
        <item x="83"/>
        <item x="152"/>
        <item x="169"/>
        <item x="67"/>
        <item x="113"/>
        <item x="35"/>
        <item x="96"/>
        <item x="107"/>
        <item x="120"/>
        <item x="200"/>
        <item x="2"/>
        <item x="6"/>
        <item x="178"/>
        <item x="24"/>
        <item x="82"/>
        <item x="155"/>
        <item x="4"/>
        <item x="188"/>
        <item x="11"/>
        <item x="39"/>
        <item x="146"/>
        <item x="138"/>
        <item x="1"/>
        <item x="26"/>
        <item x="166"/>
        <item x="22"/>
        <item x="86"/>
        <item x="143"/>
        <item x="92"/>
        <item x="201"/>
        <item x="62"/>
        <item x="37"/>
        <item x="56"/>
        <item x="177"/>
        <item x="109"/>
        <item x="28"/>
        <item x="168"/>
        <item x="130"/>
        <item x="15"/>
        <item x="64"/>
        <item x="184"/>
        <item x="164"/>
        <item x="73"/>
        <item x="52"/>
        <item x="194"/>
        <item x="203"/>
        <item x="21"/>
        <item x="23"/>
        <item x="145"/>
        <item x="95"/>
        <item x="121"/>
        <item x="105"/>
        <item x="136"/>
        <item x="123"/>
        <item x="29"/>
        <item x="97"/>
        <item x="17"/>
        <item x="117"/>
        <item x="99"/>
        <item x="20"/>
        <item x="55"/>
        <item x="51"/>
        <item x="202"/>
        <item x="199"/>
        <item x="81"/>
        <item x="27"/>
        <item x="101"/>
        <item x="135"/>
        <item x="112"/>
        <item x="116"/>
        <item x="181"/>
        <item x="197"/>
        <item x="172"/>
        <item x="148"/>
        <item x="80"/>
        <item x="163"/>
        <item x="25"/>
        <item x="77"/>
        <item x="50"/>
        <item x="193"/>
        <item x="131"/>
        <item x="179"/>
        <item x="54"/>
        <item x="158"/>
        <item x="88"/>
        <item x="114"/>
        <item x="157"/>
        <item x="127"/>
        <item x="176"/>
        <item x="66"/>
        <item x="195"/>
        <item x="98"/>
        <item x="183"/>
        <item x="74"/>
        <item x="160"/>
        <item x="149"/>
        <item x="12"/>
        <item x="144"/>
        <item x="119"/>
        <item x="19"/>
        <item x="30"/>
        <item x="142"/>
        <item x="159"/>
        <item x="122"/>
        <item x="206"/>
        <item x="198"/>
        <item x="137"/>
        <item x="100"/>
        <item x="167"/>
        <item x="161"/>
        <item x="47"/>
        <item x="40"/>
        <item x="44"/>
        <item x="38"/>
        <item x="156"/>
        <item x="196"/>
        <item x="185"/>
        <item x="170"/>
        <item x="204"/>
        <item x="85"/>
        <item x="36"/>
        <item x="49"/>
        <item x="89"/>
        <item x="129"/>
        <item x="110"/>
        <item x="48"/>
        <item x="191"/>
        <item x="10"/>
        <item x="147"/>
        <item x="14"/>
        <item x="71"/>
        <item x="126"/>
        <item x="59"/>
        <item x="133"/>
        <item x="190"/>
        <item x="91"/>
        <item x="7"/>
        <item x="141"/>
        <item x="31"/>
        <item x="171"/>
        <item x="140"/>
        <item x="162"/>
        <item x="84"/>
        <item x="139"/>
        <item x="72"/>
        <item x="75"/>
        <item x="16"/>
        <item x="45"/>
        <item x="175"/>
        <item x="3"/>
        <item x="65"/>
        <item x="104"/>
        <item x="46"/>
        <item x="34"/>
        <item x="76"/>
        <item x="192"/>
        <item x="18"/>
        <item x="0"/>
        <item x="189"/>
        <item x="165"/>
        <item x="134"/>
        <item x="61"/>
        <item x="153"/>
        <item x="68"/>
        <item x="53"/>
        <item x="78"/>
        <item x="57"/>
        <item x="115"/>
        <item x="103"/>
        <item x="125"/>
        <item x="187"/>
        <item x="132"/>
        <item x="32"/>
        <item x="182"/>
        <item x="205"/>
        <item x="208"/>
        <item x="42"/>
        <item x="8"/>
        <item x="13"/>
        <item x="41"/>
        <item x="173"/>
        <item x="124"/>
        <item x="174"/>
        <item x="69"/>
        <item x="79"/>
        <item x="150"/>
        <item x="180"/>
        <item x="90"/>
        <item x="43"/>
        <item t="default"/>
      </items>
    </pivotField>
    <pivotField showAll="0"/>
    <pivotField showAll="0">
      <items count="5">
        <item x="0"/>
        <item x="2"/>
        <item x="3"/>
        <item x="1"/>
        <item t="default"/>
      </items>
    </pivotField>
    <pivotField showAll="0"/>
    <pivotField showAll="0"/>
    <pivotField showAll="0"/>
    <pivotField numFmtId="164" showAll="0"/>
    <pivotField dataField="1" numFmtId="164" showAll="0"/>
    <pivotField numFmtId="44" showAll="0"/>
    <pivotField numFmtId="44"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x="3"/>
        <item sd="0" x="4"/>
        <item sd="0" x="5"/>
        <item t="default"/>
      </items>
    </pivotField>
    <pivotField showAll="0">
      <items count="5">
        <item sd="0" x="0"/>
        <item x="1"/>
        <item sd="0" x="2"/>
        <item sd="0" x="3"/>
        <item t="default"/>
      </items>
    </pivotField>
  </pivotFields>
  <rowFields count="1">
    <field x="13"/>
  </rowFields>
  <rowItems count="5">
    <i>
      <x v="1"/>
    </i>
    <i>
      <x v="2"/>
    </i>
    <i>
      <x v="3"/>
    </i>
    <i>
      <x v="4"/>
    </i>
    <i t="grand">
      <x/>
    </i>
  </rowItems>
  <colItems count="1">
    <i/>
  </colItems>
  <dataFields count="1">
    <dataField name="Sum of Sales_Amount" fld="8" baseField="0" baseItem="0" numFmtId="164"/>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E06D96-2FE7-440E-999B-056969E97D53}" name="PivotTable2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B50" firstHeaderRow="1" firstDataRow="1" firstDataCol="1"/>
  <pivotFields count="15">
    <pivotField showAll="0"/>
    <pivotField numFmtId="14" showAll="0">
      <items count="212">
        <item x="128"/>
        <item x="58"/>
        <item x="210"/>
        <item x="106"/>
        <item x="209"/>
        <item x="151"/>
        <item x="5"/>
        <item x="60"/>
        <item x="93"/>
        <item x="111"/>
        <item x="9"/>
        <item x="207"/>
        <item x="63"/>
        <item x="94"/>
        <item x="70"/>
        <item x="118"/>
        <item x="87"/>
        <item x="186"/>
        <item x="108"/>
        <item x="154"/>
        <item x="33"/>
        <item x="102"/>
        <item x="83"/>
        <item x="152"/>
        <item x="169"/>
        <item x="67"/>
        <item x="113"/>
        <item x="35"/>
        <item x="96"/>
        <item x="107"/>
        <item x="120"/>
        <item x="200"/>
        <item x="2"/>
        <item x="6"/>
        <item x="178"/>
        <item x="24"/>
        <item x="82"/>
        <item x="155"/>
        <item x="4"/>
        <item x="188"/>
        <item x="11"/>
        <item x="39"/>
        <item x="146"/>
        <item x="138"/>
        <item x="1"/>
        <item x="26"/>
        <item x="166"/>
        <item x="22"/>
        <item x="86"/>
        <item x="143"/>
        <item x="92"/>
        <item x="201"/>
        <item x="62"/>
        <item x="37"/>
        <item x="56"/>
        <item x="177"/>
        <item x="109"/>
        <item x="28"/>
        <item x="168"/>
        <item x="130"/>
        <item x="15"/>
        <item x="64"/>
        <item x="184"/>
        <item x="164"/>
        <item x="73"/>
        <item x="52"/>
        <item x="194"/>
        <item x="203"/>
        <item x="21"/>
        <item x="23"/>
        <item x="145"/>
        <item x="95"/>
        <item x="121"/>
        <item x="105"/>
        <item x="136"/>
        <item x="123"/>
        <item x="29"/>
        <item x="97"/>
        <item x="17"/>
        <item x="117"/>
        <item x="99"/>
        <item x="20"/>
        <item x="55"/>
        <item x="51"/>
        <item x="202"/>
        <item x="199"/>
        <item x="81"/>
        <item x="27"/>
        <item x="101"/>
        <item x="135"/>
        <item x="112"/>
        <item x="116"/>
        <item x="181"/>
        <item x="197"/>
        <item x="172"/>
        <item x="148"/>
        <item x="80"/>
        <item x="163"/>
        <item x="25"/>
        <item x="77"/>
        <item x="50"/>
        <item x="193"/>
        <item x="131"/>
        <item x="179"/>
        <item x="54"/>
        <item x="158"/>
        <item x="88"/>
        <item x="114"/>
        <item x="157"/>
        <item x="127"/>
        <item x="176"/>
        <item x="66"/>
        <item x="195"/>
        <item x="98"/>
        <item x="183"/>
        <item x="74"/>
        <item x="160"/>
        <item x="149"/>
        <item x="12"/>
        <item x="144"/>
        <item x="119"/>
        <item x="19"/>
        <item x="30"/>
        <item x="142"/>
        <item x="159"/>
        <item x="122"/>
        <item x="206"/>
        <item x="198"/>
        <item x="137"/>
        <item x="100"/>
        <item x="167"/>
        <item x="161"/>
        <item x="47"/>
        <item x="40"/>
        <item x="44"/>
        <item x="38"/>
        <item x="156"/>
        <item x="196"/>
        <item x="185"/>
        <item x="170"/>
        <item x="204"/>
        <item x="85"/>
        <item x="36"/>
        <item x="49"/>
        <item x="89"/>
        <item x="129"/>
        <item x="110"/>
        <item x="48"/>
        <item x="191"/>
        <item x="10"/>
        <item x="147"/>
        <item x="14"/>
        <item x="71"/>
        <item x="126"/>
        <item x="59"/>
        <item x="133"/>
        <item x="190"/>
        <item x="91"/>
        <item x="7"/>
        <item x="141"/>
        <item x="31"/>
        <item x="171"/>
        <item x="140"/>
        <item x="162"/>
        <item x="84"/>
        <item x="139"/>
        <item x="72"/>
        <item x="75"/>
        <item x="16"/>
        <item x="45"/>
        <item x="175"/>
        <item x="3"/>
        <item x="65"/>
        <item x="104"/>
        <item x="46"/>
        <item x="34"/>
        <item x="76"/>
        <item x="192"/>
        <item x="18"/>
        <item x="0"/>
        <item x="189"/>
        <item x="165"/>
        <item x="134"/>
        <item x="61"/>
        <item x="153"/>
        <item x="68"/>
        <item x="53"/>
        <item x="78"/>
        <item x="57"/>
        <item x="115"/>
        <item x="103"/>
        <item x="125"/>
        <item x="187"/>
        <item x="132"/>
        <item x="32"/>
        <item x="182"/>
        <item x="205"/>
        <item x="208"/>
        <item x="42"/>
        <item x="8"/>
        <item x="13"/>
        <item x="41"/>
        <item x="173"/>
        <item x="124"/>
        <item x="174"/>
        <item x="69"/>
        <item x="79"/>
        <item x="150"/>
        <item x="180"/>
        <item x="90"/>
        <item x="43"/>
        <item t="default"/>
      </items>
    </pivotField>
    <pivotField showAll="0"/>
    <pivotField showAll="0">
      <items count="5">
        <item x="0"/>
        <item x="2"/>
        <item x="3"/>
        <item x="1"/>
        <item t="default"/>
      </items>
    </pivotField>
    <pivotField axis="axisRow" showAll="0">
      <items count="10">
        <item x="8"/>
        <item x="5"/>
        <item x="0"/>
        <item x="6"/>
        <item x="1"/>
        <item x="2"/>
        <item x="4"/>
        <item x="7"/>
        <item x="3"/>
        <item t="default"/>
      </items>
    </pivotField>
    <pivotField showAll="0"/>
    <pivotField showAll="0"/>
    <pivotField numFmtId="164" showAll="0"/>
    <pivotField dataField="1" numFmtId="164" showAll="0"/>
    <pivotField numFmtId="44" showAll="0"/>
    <pivotField numFmtId="4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10">
    <i>
      <x/>
    </i>
    <i>
      <x v="1"/>
    </i>
    <i>
      <x v="2"/>
    </i>
    <i>
      <x v="3"/>
    </i>
    <i>
      <x v="4"/>
    </i>
    <i>
      <x v="5"/>
    </i>
    <i>
      <x v="6"/>
    </i>
    <i>
      <x v="7"/>
    </i>
    <i>
      <x v="8"/>
    </i>
    <i t="grand">
      <x/>
    </i>
  </rowItems>
  <colItems count="1">
    <i/>
  </colItems>
  <dataFields count="1">
    <dataField name="Sum of Sales_Amount" fld="8" baseField="0" baseItem="0" numFmtId="164"/>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D5B161-376A-4628-95FC-509723A81618}" name="PivotTable2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B29" firstHeaderRow="1" firstDataRow="1" firstDataCol="1"/>
  <pivotFields count="15">
    <pivotField showAll="0"/>
    <pivotField numFmtId="14" showAll="0">
      <items count="212">
        <item x="128"/>
        <item x="58"/>
        <item x="210"/>
        <item x="106"/>
        <item x="209"/>
        <item x="151"/>
        <item x="5"/>
        <item x="60"/>
        <item x="93"/>
        <item x="111"/>
        <item x="9"/>
        <item x="207"/>
        <item x="63"/>
        <item x="94"/>
        <item x="70"/>
        <item x="118"/>
        <item x="87"/>
        <item x="186"/>
        <item x="108"/>
        <item x="154"/>
        <item x="33"/>
        <item x="102"/>
        <item x="83"/>
        <item x="152"/>
        <item x="169"/>
        <item x="67"/>
        <item x="113"/>
        <item x="35"/>
        <item x="96"/>
        <item x="107"/>
        <item x="120"/>
        <item x="200"/>
        <item x="2"/>
        <item x="6"/>
        <item x="178"/>
        <item x="24"/>
        <item x="82"/>
        <item x="155"/>
        <item x="4"/>
        <item x="188"/>
        <item x="11"/>
        <item x="39"/>
        <item x="146"/>
        <item x="138"/>
        <item x="1"/>
        <item x="26"/>
        <item x="166"/>
        <item x="22"/>
        <item x="86"/>
        <item x="143"/>
        <item x="92"/>
        <item x="201"/>
        <item x="62"/>
        <item x="37"/>
        <item x="56"/>
        <item x="177"/>
        <item x="109"/>
        <item x="28"/>
        <item x="168"/>
        <item x="130"/>
        <item x="15"/>
        <item x="64"/>
        <item x="184"/>
        <item x="164"/>
        <item x="73"/>
        <item x="52"/>
        <item x="194"/>
        <item x="203"/>
        <item x="21"/>
        <item x="23"/>
        <item x="145"/>
        <item x="95"/>
        <item x="121"/>
        <item x="105"/>
        <item x="136"/>
        <item x="123"/>
        <item x="29"/>
        <item x="97"/>
        <item x="17"/>
        <item x="117"/>
        <item x="99"/>
        <item x="20"/>
        <item x="55"/>
        <item x="51"/>
        <item x="202"/>
        <item x="199"/>
        <item x="81"/>
        <item x="27"/>
        <item x="101"/>
        <item x="135"/>
        <item x="112"/>
        <item x="116"/>
        <item x="181"/>
        <item x="197"/>
        <item x="172"/>
        <item x="148"/>
        <item x="80"/>
        <item x="163"/>
        <item x="25"/>
        <item x="77"/>
        <item x="50"/>
        <item x="193"/>
        <item x="131"/>
        <item x="179"/>
        <item x="54"/>
        <item x="158"/>
        <item x="88"/>
        <item x="114"/>
        <item x="157"/>
        <item x="127"/>
        <item x="176"/>
        <item x="66"/>
        <item x="195"/>
        <item x="98"/>
        <item x="183"/>
        <item x="74"/>
        <item x="160"/>
        <item x="149"/>
        <item x="12"/>
        <item x="144"/>
        <item x="119"/>
        <item x="19"/>
        <item x="30"/>
        <item x="142"/>
        <item x="159"/>
        <item x="122"/>
        <item x="206"/>
        <item x="198"/>
        <item x="137"/>
        <item x="100"/>
        <item x="167"/>
        <item x="161"/>
        <item x="47"/>
        <item x="40"/>
        <item x="44"/>
        <item x="38"/>
        <item x="156"/>
        <item x="196"/>
        <item x="185"/>
        <item x="170"/>
        <item x="204"/>
        <item x="85"/>
        <item x="36"/>
        <item x="49"/>
        <item x="89"/>
        <item x="129"/>
        <item x="110"/>
        <item x="48"/>
        <item x="191"/>
        <item x="10"/>
        <item x="147"/>
        <item x="14"/>
        <item x="71"/>
        <item x="126"/>
        <item x="59"/>
        <item x="133"/>
        <item x="190"/>
        <item x="91"/>
        <item x="7"/>
        <item x="141"/>
        <item x="31"/>
        <item x="171"/>
        <item x="140"/>
        <item x="162"/>
        <item x="84"/>
        <item x="139"/>
        <item x="72"/>
        <item x="75"/>
        <item x="16"/>
        <item x="45"/>
        <item x="175"/>
        <item x="3"/>
        <item x="65"/>
        <item x="104"/>
        <item x="46"/>
        <item x="34"/>
        <item x="76"/>
        <item x="192"/>
        <item x="18"/>
        <item x="0"/>
        <item x="189"/>
        <item x="165"/>
        <item x="134"/>
        <item x="61"/>
        <item x="153"/>
        <item x="68"/>
        <item x="53"/>
        <item x="78"/>
        <item x="57"/>
        <item x="115"/>
        <item x="103"/>
        <item x="125"/>
        <item x="187"/>
        <item x="132"/>
        <item x="32"/>
        <item x="182"/>
        <item x="205"/>
        <item x="208"/>
        <item x="42"/>
        <item x="8"/>
        <item x="13"/>
        <item x="41"/>
        <item x="173"/>
        <item x="124"/>
        <item x="174"/>
        <item x="69"/>
        <item x="79"/>
        <item x="150"/>
        <item x="180"/>
        <item x="90"/>
        <item x="43"/>
        <item t="default"/>
      </items>
    </pivotField>
    <pivotField showAll="0"/>
    <pivotField axis="axisRow" dataField="1" showAll="0">
      <items count="5">
        <item x="0"/>
        <item x="2"/>
        <item x="3"/>
        <item x="1"/>
        <item t="default"/>
      </items>
    </pivotField>
    <pivotField showAll="0"/>
    <pivotField showAll="0"/>
    <pivotField showAll="0"/>
    <pivotField numFmtId="164" showAll="0"/>
    <pivotField numFmtId="164" showAll="0"/>
    <pivotField numFmtId="44" showAll="0"/>
    <pivotField numFmtId="4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Count of Product_Category" fld="3"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BDB021-0677-4041-BC9A-078BC9E4F6D3}"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3:B274" firstHeaderRow="1" firstDataRow="1" firstDataCol="1"/>
  <pivotFields count="15">
    <pivotField showAll="0"/>
    <pivotField axis="axisRow" numFmtId="14" showAll="0">
      <items count="212">
        <item x="128"/>
        <item x="58"/>
        <item x="210"/>
        <item x="106"/>
        <item x="209"/>
        <item x="151"/>
        <item x="5"/>
        <item x="60"/>
        <item x="93"/>
        <item x="111"/>
        <item x="9"/>
        <item x="207"/>
        <item x="63"/>
        <item x="94"/>
        <item x="70"/>
        <item x="118"/>
        <item x="87"/>
        <item x="186"/>
        <item x="108"/>
        <item x="154"/>
        <item x="33"/>
        <item x="102"/>
        <item x="83"/>
        <item x="152"/>
        <item x="169"/>
        <item x="67"/>
        <item x="113"/>
        <item x="35"/>
        <item x="96"/>
        <item x="107"/>
        <item x="120"/>
        <item x="200"/>
        <item x="2"/>
        <item x="6"/>
        <item x="178"/>
        <item x="24"/>
        <item x="82"/>
        <item x="155"/>
        <item x="4"/>
        <item x="188"/>
        <item x="11"/>
        <item x="39"/>
        <item x="146"/>
        <item x="138"/>
        <item x="1"/>
        <item x="26"/>
        <item x="166"/>
        <item x="22"/>
        <item x="86"/>
        <item x="143"/>
        <item x="92"/>
        <item x="201"/>
        <item x="62"/>
        <item x="37"/>
        <item x="56"/>
        <item x="177"/>
        <item x="109"/>
        <item x="28"/>
        <item x="168"/>
        <item x="130"/>
        <item x="15"/>
        <item x="64"/>
        <item x="184"/>
        <item x="164"/>
        <item x="73"/>
        <item x="52"/>
        <item x="194"/>
        <item x="203"/>
        <item x="21"/>
        <item x="23"/>
        <item x="145"/>
        <item x="95"/>
        <item x="121"/>
        <item x="105"/>
        <item x="136"/>
        <item x="123"/>
        <item x="29"/>
        <item x="97"/>
        <item x="17"/>
        <item x="117"/>
        <item x="99"/>
        <item x="20"/>
        <item x="55"/>
        <item x="51"/>
        <item x="202"/>
        <item x="199"/>
        <item x="81"/>
        <item x="27"/>
        <item x="101"/>
        <item x="135"/>
        <item x="112"/>
        <item x="116"/>
        <item x="181"/>
        <item x="197"/>
        <item x="172"/>
        <item x="148"/>
        <item x="80"/>
        <item x="163"/>
        <item x="25"/>
        <item x="77"/>
        <item x="50"/>
        <item x="193"/>
        <item x="131"/>
        <item x="179"/>
        <item x="54"/>
        <item x="158"/>
        <item x="88"/>
        <item x="114"/>
        <item x="157"/>
        <item x="127"/>
        <item x="176"/>
        <item x="66"/>
        <item x="195"/>
        <item x="98"/>
        <item x="183"/>
        <item x="74"/>
        <item x="160"/>
        <item x="149"/>
        <item x="12"/>
        <item x="144"/>
        <item x="119"/>
        <item x="19"/>
        <item x="30"/>
        <item x="142"/>
        <item x="159"/>
        <item x="122"/>
        <item x="206"/>
        <item x="198"/>
        <item x="137"/>
        <item x="100"/>
        <item x="167"/>
        <item x="161"/>
        <item x="47"/>
        <item x="40"/>
        <item x="44"/>
        <item x="38"/>
        <item x="156"/>
        <item x="196"/>
        <item x="185"/>
        <item x="170"/>
        <item x="204"/>
        <item x="85"/>
        <item x="36"/>
        <item x="49"/>
        <item x="89"/>
        <item x="129"/>
        <item x="110"/>
        <item x="48"/>
        <item x="191"/>
        <item x="10"/>
        <item x="147"/>
        <item x="14"/>
        <item x="71"/>
        <item x="126"/>
        <item x="59"/>
        <item x="133"/>
        <item x="190"/>
        <item x="91"/>
        <item x="7"/>
        <item x="141"/>
        <item x="31"/>
        <item x="171"/>
        <item x="140"/>
        <item x="162"/>
        <item x="84"/>
        <item x="139"/>
        <item x="72"/>
        <item x="75"/>
        <item x="16"/>
        <item x="45"/>
        <item x="175"/>
        <item x="3"/>
        <item x="65"/>
        <item x="104"/>
        <item x="46"/>
        <item x="34"/>
        <item x="76"/>
        <item x="192"/>
        <item x="18"/>
        <item x="0"/>
        <item x="189"/>
        <item x="165"/>
        <item x="134"/>
        <item x="61"/>
        <item x="153"/>
        <item x="68"/>
        <item x="53"/>
        <item x="78"/>
        <item x="57"/>
        <item x="115"/>
        <item x="103"/>
        <item x="125"/>
        <item x="187"/>
        <item x="132"/>
        <item x="32"/>
        <item x="182"/>
        <item x="205"/>
        <item x="208"/>
        <item x="42"/>
        <item x="8"/>
        <item x="13"/>
        <item x="41"/>
        <item x="173"/>
        <item x="124"/>
        <item x="174"/>
        <item x="69"/>
        <item x="79"/>
        <item x="150"/>
        <item x="180"/>
        <item x="90"/>
        <item x="43"/>
        <item t="default"/>
      </items>
    </pivotField>
    <pivotField showAll="0"/>
    <pivotField showAll="0">
      <items count="5">
        <item x="0"/>
        <item x="2"/>
        <item x="3"/>
        <item x="1"/>
        <item t="default"/>
      </items>
    </pivotField>
    <pivotField showAll="0"/>
    <pivotField showAll="0"/>
    <pivotField showAll="0"/>
    <pivotField numFmtId="164" showAll="0"/>
    <pivotField dataField="1" numFmtId="164" showAll="0"/>
    <pivotField numFmtId="44" showAll="0"/>
    <pivotField numFmtId="4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h="1" sd="0" x="0"/>
        <item sd="0" x="1"/>
        <item h="1" sd="0" x="2"/>
        <item h="1" sd="0" x="3"/>
        <item t="default"/>
      </items>
    </pivotField>
  </pivotFields>
  <rowFields count="1">
    <field x="1"/>
  </rowFields>
  <rowItems count="2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t="grand">
      <x/>
    </i>
  </rowItems>
  <colItems count="1">
    <i/>
  </colItems>
  <dataFields count="1">
    <dataField name="Sum of Sales_Amount" fld="8" baseField="0" baseItem="0" numFmtId="164"/>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2A26AE-47F8-4402-8491-925BDBE5A250}" name="PivotTable1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B20" firstHeaderRow="1" firstDataRow="1" firstDataCol="1"/>
  <pivotFields count="15">
    <pivotField showAll="0"/>
    <pivotField numFmtId="14" showAll="0">
      <items count="212">
        <item x="128"/>
        <item x="58"/>
        <item x="210"/>
        <item x="106"/>
        <item x="209"/>
        <item x="151"/>
        <item x="5"/>
        <item x="60"/>
        <item x="93"/>
        <item x="111"/>
        <item x="9"/>
        <item x="207"/>
        <item x="63"/>
        <item x="94"/>
        <item x="70"/>
        <item x="118"/>
        <item x="87"/>
        <item x="186"/>
        <item x="108"/>
        <item x="154"/>
        <item x="33"/>
        <item x="102"/>
        <item x="83"/>
        <item x="152"/>
        <item x="169"/>
        <item x="67"/>
        <item x="113"/>
        <item x="35"/>
        <item x="96"/>
        <item x="107"/>
        <item x="120"/>
        <item x="200"/>
        <item x="2"/>
        <item x="6"/>
        <item x="178"/>
        <item x="24"/>
        <item x="82"/>
        <item x="155"/>
        <item x="4"/>
        <item x="188"/>
        <item x="11"/>
        <item x="39"/>
        <item x="146"/>
        <item x="138"/>
        <item x="1"/>
        <item x="26"/>
        <item x="166"/>
        <item x="22"/>
        <item x="86"/>
        <item x="143"/>
        <item x="92"/>
        <item x="201"/>
        <item x="62"/>
        <item x="37"/>
        <item x="56"/>
        <item x="177"/>
        <item x="109"/>
        <item x="28"/>
        <item x="168"/>
        <item x="130"/>
        <item x="15"/>
        <item x="64"/>
        <item x="184"/>
        <item x="164"/>
        <item x="73"/>
        <item x="52"/>
        <item x="194"/>
        <item x="203"/>
        <item x="21"/>
        <item x="23"/>
        <item x="145"/>
        <item x="95"/>
        <item x="121"/>
        <item x="105"/>
        <item x="136"/>
        <item x="123"/>
        <item x="29"/>
        <item x="97"/>
        <item x="17"/>
        <item x="117"/>
        <item x="99"/>
        <item x="20"/>
        <item x="55"/>
        <item x="51"/>
        <item x="202"/>
        <item x="199"/>
        <item x="81"/>
        <item x="27"/>
        <item x="101"/>
        <item x="135"/>
        <item x="112"/>
        <item x="116"/>
        <item x="181"/>
        <item x="197"/>
        <item x="172"/>
        <item x="148"/>
        <item x="80"/>
        <item x="163"/>
        <item x="25"/>
        <item x="77"/>
        <item x="50"/>
        <item x="193"/>
        <item x="131"/>
        <item x="179"/>
        <item x="54"/>
        <item x="158"/>
        <item x="88"/>
        <item x="114"/>
        <item x="157"/>
        <item x="127"/>
        <item x="176"/>
        <item x="66"/>
        <item x="195"/>
        <item x="98"/>
        <item x="183"/>
        <item x="74"/>
        <item x="160"/>
        <item x="149"/>
        <item x="12"/>
        <item x="144"/>
        <item x="119"/>
        <item x="19"/>
        <item x="30"/>
        <item x="142"/>
        <item x="159"/>
        <item x="122"/>
        <item x="206"/>
        <item x="198"/>
        <item x="137"/>
        <item x="100"/>
        <item x="167"/>
        <item x="161"/>
        <item x="47"/>
        <item x="40"/>
        <item x="44"/>
        <item x="38"/>
        <item x="156"/>
        <item x="196"/>
        <item x="185"/>
        <item x="170"/>
        <item x="204"/>
        <item x="85"/>
        <item x="36"/>
        <item x="49"/>
        <item x="89"/>
        <item x="129"/>
        <item x="110"/>
        <item x="48"/>
        <item x="191"/>
        <item x="10"/>
        <item x="147"/>
        <item x="14"/>
        <item x="71"/>
        <item x="126"/>
        <item x="59"/>
        <item x="133"/>
        <item x="190"/>
        <item x="91"/>
        <item x="7"/>
        <item x="141"/>
        <item x="31"/>
        <item x="171"/>
        <item x="140"/>
        <item x="162"/>
        <item x="84"/>
        <item x="139"/>
        <item x="72"/>
        <item x="75"/>
        <item x="16"/>
        <item x="45"/>
        <item x="175"/>
        <item x="3"/>
        <item x="65"/>
        <item x="104"/>
        <item x="46"/>
        <item x="34"/>
        <item x="76"/>
        <item x="192"/>
        <item x="18"/>
        <item x="0"/>
        <item x="189"/>
        <item x="165"/>
        <item x="134"/>
        <item x="61"/>
        <item x="153"/>
        <item x="68"/>
        <item x="53"/>
        <item x="78"/>
        <item x="57"/>
        <item x="115"/>
        <item x="103"/>
        <item x="125"/>
        <item x="187"/>
        <item x="132"/>
        <item x="32"/>
        <item x="182"/>
        <item x="205"/>
        <item x="208"/>
        <item x="42"/>
        <item x="8"/>
        <item x="13"/>
        <item x="41"/>
        <item x="173"/>
        <item x="124"/>
        <item x="174"/>
        <item x="69"/>
        <item x="79"/>
        <item x="150"/>
        <item x="180"/>
        <item x="90"/>
        <item x="43"/>
        <item t="default"/>
      </items>
    </pivotField>
    <pivotField showAll="0"/>
    <pivotField showAll="0">
      <items count="5">
        <item x="0"/>
        <item x="2"/>
        <item x="3"/>
        <item x="1"/>
        <item t="default"/>
      </items>
    </pivotField>
    <pivotField showAll="0"/>
    <pivotField showAll="0"/>
    <pivotField showAll="0"/>
    <pivotField numFmtId="164" showAll="0"/>
    <pivotField dataField="1" numFmtId="164" showAll="0"/>
    <pivotField numFmtId="44" showAll="0"/>
    <pivotField numFmtId="4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_Amount" fld="8" baseField="0" baseItem="0" numFmtId="166"/>
  </dataFields>
  <formats count="1">
    <format dxfId="9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ADF8A7-D76B-4BB7-A395-98BF46D369A2}" name="region wise total 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B32" firstHeaderRow="1" firstDataRow="1" firstDataCol="1"/>
  <pivotFields count="6">
    <pivotField showAll="0"/>
    <pivotField showAll="0"/>
    <pivotField axis="axisRow" showAll="0">
      <items count="5">
        <item x="0"/>
        <item x="3"/>
        <item x="2"/>
        <item x="1"/>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Total_Revenue" fld="4" baseField="0" baseItem="0" numFmtId="167"/>
  </dataFields>
  <formats count="1">
    <format dxfId="9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33F696-ED8C-4715-9548-F106C497DEDD}" name="industry wise total 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4" firstHeaderRow="1" firstDataRow="1" firstDataCol="1"/>
  <pivotFields count="6">
    <pivotField showAll="0"/>
    <pivotField axis="axisRow" showAll="0">
      <items count="5">
        <item x="1"/>
        <item x="3"/>
        <item x="0"/>
        <item x="2"/>
        <item t="default"/>
      </items>
    </pivotField>
    <pivotField showAll="0">
      <items count="5">
        <item x="0"/>
        <item x="3"/>
        <item x="2"/>
        <item x="1"/>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Total_Revenue" fld="4" baseField="0" baseItem="0" numFmtId="167"/>
  </dataFields>
  <formats count="1">
    <format dxfId="9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E9F5B7-FEF2-4B42-B111-84862036A06D}" name="industry wise total orde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6" firstHeaderRow="1" firstDataRow="1" firstDataCol="1"/>
  <pivotFields count="6">
    <pivotField showAll="0"/>
    <pivotField axis="axisRow" showAll="0">
      <items count="5">
        <item x="1"/>
        <item x="3"/>
        <item x="0"/>
        <item x="2"/>
        <item t="default"/>
      </items>
    </pivotField>
    <pivotField showAll="0">
      <items count="5">
        <item x="0"/>
        <item x="3"/>
        <item x="2"/>
        <item x="1"/>
        <item t="default"/>
      </items>
    </pivotField>
    <pivotField dataField="1" showAll="0"/>
    <pivotField showAll="0"/>
    <pivotField showAll="0"/>
  </pivotFields>
  <rowFields count="1">
    <field x="1"/>
  </rowFields>
  <rowItems count="5">
    <i>
      <x/>
    </i>
    <i>
      <x v="1"/>
    </i>
    <i>
      <x v="2"/>
    </i>
    <i>
      <x v="3"/>
    </i>
    <i t="grand">
      <x/>
    </i>
  </rowItems>
  <colItems count="1">
    <i/>
  </colItems>
  <dataFields count="1">
    <dataField name="Sum of Total_Order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0BF6A4-9DF1-41D7-B2A1-30E7CB09FAD3}" name="region wise total orde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6">
    <pivotField showAll="0"/>
    <pivotField showAll="0"/>
    <pivotField axis="axisRow" showAll="0">
      <items count="5">
        <item x="0"/>
        <item x="3"/>
        <item x="2"/>
        <item x="1"/>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Sum of Total_Order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E547A3-DE08-474A-B365-CE1A74D1650D}" name="repeat cu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D41" firstHeaderRow="1" firstDataRow="2" firstDataCol="1"/>
  <pivotFields count="6">
    <pivotField showAll="0"/>
    <pivotField showAll="0"/>
    <pivotField axis="axisRow" showAll="0">
      <items count="5">
        <item x="0"/>
        <item x="3"/>
        <item x="2"/>
        <item x="1"/>
        <item t="default"/>
      </items>
    </pivotField>
    <pivotField showAll="0"/>
    <pivotField dataField="1" showAll="0"/>
    <pivotField axis="axisCol" showAll="0">
      <items count="3">
        <item x="0"/>
        <item x="1"/>
        <item t="default"/>
      </items>
    </pivotField>
  </pivotFields>
  <rowFields count="1">
    <field x="2"/>
  </rowFields>
  <rowItems count="5">
    <i>
      <x/>
    </i>
    <i>
      <x v="1"/>
    </i>
    <i>
      <x v="2"/>
    </i>
    <i>
      <x v="3"/>
    </i>
    <i t="grand">
      <x/>
    </i>
  </rowItems>
  <colFields count="1">
    <field x="5"/>
  </colFields>
  <colItems count="3">
    <i>
      <x/>
    </i>
    <i>
      <x v="1"/>
    </i>
    <i t="grand">
      <x/>
    </i>
  </colItems>
  <dataFields count="1">
    <dataField name="Sum of Total_Revenue" fld="4" showDataAs="percentOfTotal" baseField="0" baseItem="0" numFmtId="10"/>
  </dataFields>
  <chartFormats count="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5" format="4" series="1">
      <pivotArea type="data" outline="0" fieldPosition="0">
        <references count="2">
          <reference field="4294967294" count="1" selected="0">
            <x v="0"/>
          </reference>
          <reference field="5" count="1" selected="0">
            <x v="0"/>
          </reference>
        </references>
      </pivotArea>
    </chartFormat>
    <chartFormat chart="5"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A750F8-2029-44CB-BAEE-A83EA490C2F8}" name="product wise defec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1" firstHeaderRow="1" firstDataRow="1" firstDataCol="1"/>
  <pivotFields count="7">
    <pivotField showAll="0">
      <items count="13">
        <item x="0"/>
        <item x="1"/>
        <item x="2"/>
        <item x="3"/>
        <item x="4"/>
        <item x="5"/>
        <item x="6"/>
        <item x="7"/>
        <item x="8"/>
        <item x="9"/>
        <item x="10"/>
        <item x="11"/>
        <item t="default"/>
      </items>
    </pivotField>
    <pivotField showAll="0"/>
    <pivotField axis="axisRow" showAll="0">
      <items count="5">
        <item x="0"/>
        <item x="3"/>
        <item x="2"/>
        <item x="1"/>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Sum of Defect_Percentage" fld="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C55071-3D9A-48BE-A6BD-FC35D5658CBD}" name="plant wise produc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D13" firstHeaderRow="1" firstDataRow="2" firstDataCol="1"/>
  <pivotFields count="7">
    <pivotField showAll="0">
      <items count="13">
        <item x="0"/>
        <item x="1"/>
        <item x="2"/>
        <item x="3"/>
        <item x="4"/>
        <item x="5"/>
        <item x="6"/>
        <item x="7"/>
        <item x="8"/>
        <item x="9"/>
        <item x="10"/>
        <item x="11"/>
        <item t="default"/>
      </items>
    </pivotField>
    <pivotField axis="axisCol" showAll="0">
      <items count="3">
        <item x="1"/>
        <item x="0"/>
        <item t="default"/>
      </items>
    </pivotField>
    <pivotField axis="axisRow" showAll="0">
      <items count="5">
        <item x="0"/>
        <item x="3"/>
        <item x="2"/>
        <item x="1"/>
        <item t="default"/>
      </items>
    </pivotField>
    <pivotField showAll="0"/>
    <pivotField showAll="0"/>
    <pivotField showAll="0"/>
    <pivotField dataField="1" showAll="0"/>
  </pivotFields>
  <rowFields count="1">
    <field x="2"/>
  </rowFields>
  <rowItems count="5">
    <i>
      <x/>
    </i>
    <i>
      <x v="1"/>
    </i>
    <i>
      <x v="2"/>
    </i>
    <i>
      <x v="3"/>
    </i>
    <i t="grand">
      <x/>
    </i>
  </rowItems>
  <colFields count="1">
    <field x="1"/>
  </colFields>
  <colItems count="3">
    <i>
      <x/>
    </i>
    <i>
      <x v="1"/>
    </i>
    <i t="grand">
      <x/>
    </i>
  </colItems>
  <dataFields count="1">
    <dataField name="Count of Production_Cost" fld="6" subtotal="count" baseField="2"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CB16CC-010B-4B7E-9107-B297C4FBCA0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7">
    <pivotField showAll="0">
      <items count="13">
        <item x="0"/>
        <item x="1"/>
        <item x="2"/>
        <item x="3"/>
        <item x="4"/>
        <item x="5"/>
        <item x="6"/>
        <item x="7"/>
        <item x="8"/>
        <item x="9"/>
        <item x="10"/>
        <item x="11"/>
        <item t="default"/>
      </items>
    </pivotField>
    <pivotField showAll="0"/>
    <pivotField dataField="1" showAll="0"/>
    <pivotField showAll="0"/>
    <pivotField dataField="1" showAll="0"/>
    <pivotField showAll="0"/>
    <pivotField dataField="1" showAll="0"/>
  </pivotFields>
  <rowItems count="1">
    <i/>
  </rowItems>
  <colFields count="1">
    <field x="-2"/>
  </colFields>
  <colItems count="3">
    <i>
      <x/>
    </i>
    <i i="1">
      <x v="1"/>
    </i>
    <i i="2">
      <x v="2"/>
    </i>
  </colItems>
  <dataFields count="3">
    <dataField name="Sum of Production_Cost" fld="6" baseField="0" baseItem="0" numFmtId="167"/>
    <dataField name="Sum of Defect_Percentage" fld="4" baseField="0" baseItem="0" numFmtId="2"/>
    <dataField name="Count of Product" fld="2" subtotal="count" baseField="0" baseItem="0"/>
  </dataFields>
  <formats count="2">
    <format dxfId="90">
      <pivotArea outline="0" collapsedLevelsAreSubtotals="1" fieldPosition="0">
        <references count="1">
          <reference field="4294967294" count="1" selected="0">
            <x v="0"/>
          </reference>
        </references>
      </pivotArea>
    </format>
    <format dxfId="8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A8E02E5-7ADA-40B6-B976-59EF59FC512E}" sourceName="Product_Category">
  <pivotTables>
    <pivotTable tabId="12" name="PivotTable21"/>
    <pivotTable tabId="12" name="PivotTable22"/>
    <pivotTable tabId="12" name="PivotTable18"/>
    <pivotTable tabId="12" name="PivotTable19"/>
    <pivotTable tabId="12" name="PivotTable20"/>
    <pivotTable tabId="12" name="PivotTable1"/>
  </pivotTables>
  <data>
    <tabular pivotCacheId="153086581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EB350FB8-C3DD-40F6-AC0F-2879F7412A15}" sourceName="Months (Date)">
  <pivotTables>
    <pivotTable tabId="12" name="PivotTable19"/>
    <pivotTable tabId="12" name="PivotTable18"/>
    <pivotTable tabId="12" name="PivotTable20"/>
    <pivotTable tabId="12" name="PivotTable21"/>
    <pivotTable tabId="12" name="PivotTable22"/>
    <pivotTable tabId="12" name="PivotTable1"/>
  </pivotTables>
  <data>
    <tabular pivotCacheId="153086581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1F63FF0-E968-4C3E-B7C1-A22D48E052F6}" sourceName="Years (Date)">
  <pivotTables>
    <pivotTable tabId="12" name="PivotTable1"/>
  </pivotTables>
  <data>
    <tabular pivotCacheId="1530865818">
      <items count="4">
        <i x="1" s="1"/>
        <i x="2"/>
        <i x="0"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499E3EB2-EB61-4376-B0DF-5BA84071F884}" sourceName="Quarters (Date)">
  <pivotTables>
    <pivotTable tabId="12" name="PivotTable22"/>
    <pivotTable tabId="12" name="PivotTable18"/>
    <pivotTable tabId="12" name="PivotTable19"/>
    <pivotTable tabId="12" name="PivotTable20"/>
    <pivotTable tabId="12" name="PivotTable21"/>
    <pivotTable tabId="12" name="PivotTable1"/>
  </pivotTables>
  <data>
    <tabular pivotCacheId="153086581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FDF1461-0E68-4962-9148-034DFBD24F9B}" sourceName="Month">
  <pivotTables>
    <pivotTable tabId="13" name="product wise defect"/>
    <pivotTable tabId="13" name="PivotTable2"/>
    <pivotTable tabId="13" name="plant wise product"/>
  </pivotTables>
  <data>
    <tabular pivotCacheId="1159801370">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705E15-C2BB-4B8B-BA12-15E3730E7CA5}" sourceName="Region">
  <pivotTables>
    <pivotTable tabId="14" name="region wise total order"/>
    <pivotTable tabId="14" name="industry wise total order"/>
    <pivotTable tabId="14" name="industry wise total revenue"/>
    <pivotTable tabId="14" name="region wise total revenue"/>
    <pivotTable tabId="14" name="repeat cus"/>
  </pivotTables>
  <data>
    <tabular pivotCacheId="50050476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87FB86B0-99C8-4EA0-ACDC-ACEA0BBD4774}" cache="Slicer_Product_Category" caption="Product_Category" columnCount="4" rowHeight="234950"/>
  <slicer name="Months (Date) 1" xr10:uid="{8402A829-9C5B-4C89-B47E-1DBE5CCCC5EC}" cache="Slicer_Months__Date" caption="Months (Date)" columnCount="1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493B71-9FD4-498F-9B15-30D938C655A1}" cache="Slicer_Region" caption="Region" columnCoun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075B276-74F1-400F-9B3C-4C8C250054C7}" cache="Slicer_Month" caption="Month" columnCoun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03E5B6FE-1325-468F-AB9E-001F0B04009D}" cache="Slicer_Product_Category" caption="Product_Category" rowHeight="234950"/>
  <slicer name="Months (Date)" xr10:uid="{0C16E10C-B19A-45A6-B359-2B3AFEFA976C}" cache="Slicer_Months__Date" caption="Months (Date)" rowHeight="234950"/>
  <slicer name="Years (Date)" xr10:uid="{8F23F2E5-AC4D-4D44-9EF9-68517A36EF61}" cache="Slicer_Years__Date" caption="Years (Date)" rowHeight="234950"/>
  <slicer name="Quarters (Date)" xr10:uid="{AE0D12C1-E3EF-4892-8FB2-B41A246D506F}" cache="Slicer_Quarters__Date" caption="Quarters (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FB4D828-C690-4876-8E6A-4BBB7A371F43}" cache="Slicer_Region" caption="Regi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6F075CD-3768-4FEE-9FDE-C9A1029C245A}"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5.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5.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6.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tabSelected="1" zoomScale="82" workbookViewId="0">
      <selection activeCell="V13" sqref="V13"/>
    </sheetView>
  </sheetViews>
  <sheetFormatPr defaultRowHeight="14.4" x14ac:dyDescent="0.3"/>
  <cols>
    <col min="1" max="1" width="9.44140625" customWidth="1"/>
    <col min="2" max="2" width="7.21875" customWidth="1"/>
  </cols>
  <sheetData>
    <row r="1" spans="1:1" ht="21" x14ac:dyDescent="0.4">
      <c r="A1" s="2"/>
    </row>
  </sheetData>
  <pageMargins left="0.75" right="0.75" top="1" bottom="1" header="0.5" footer="0.5"/>
  <pageSetup paperSize="8"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1F90-FB4E-4ECB-AB9A-8BEF5D569B2C}">
  <dimension ref="A1"/>
  <sheetViews>
    <sheetView showGridLines="0" zoomScale="9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E52F-8DF7-4968-B6D6-C9814C9564A5}">
  <dimension ref="A1"/>
  <sheetViews>
    <sheetView showGridLines="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3F52-D3EA-48AC-957B-B58ACFFAFBCE}">
  <dimension ref="A3:D274"/>
  <sheetViews>
    <sheetView workbookViewId="0">
      <selection activeCell="C4" sqref="C4"/>
    </sheetView>
  </sheetViews>
  <sheetFormatPr defaultRowHeight="14.4" x14ac:dyDescent="0.3"/>
  <cols>
    <col min="1" max="1" width="12.5546875" bestFit="1" customWidth="1"/>
    <col min="2" max="2" width="19.77734375" bestFit="1" customWidth="1"/>
    <col min="3" max="4" width="12.6640625" bestFit="1" customWidth="1"/>
    <col min="5" max="6" width="15.6640625" bestFit="1" customWidth="1"/>
    <col min="7" max="7" width="15.5546875" bestFit="1" customWidth="1"/>
    <col min="8" max="8" width="17.44140625" bestFit="1" customWidth="1"/>
    <col min="9" max="9" width="20.21875" bestFit="1" customWidth="1"/>
    <col min="10" max="10" width="22.77734375" bestFit="1" customWidth="1"/>
    <col min="11" max="11" width="19" bestFit="1" customWidth="1"/>
    <col min="12" max="12" width="22.77734375" bestFit="1" customWidth="1"/>
    <col min="13" max="13" width="14.109375" bestFit="1" customWidth="1"/>
    <col min="14" max="14" width="17.5546875" bestFit="1" customWidth="1"/>
    <col min="15" max="15" width="19.109375" bestFit="1" customWidth="1"/>
    <col min="16" max="16" width="18.6640625" bestFit="1" customWidth="1"/>
    <col min="17" max="17" width="21.5546875" bestFit="1" customWidth="1"/>
    <col min="18" max="18" width="19.88671875" bestFit="1" customWidth="1"/>
    <col min="19" max="19" width="22.6640625" bestFit="1" customWidth="1"/>
    <col min="20" max="20" width="15.6640625" bestFit="1" customWidth="1"/>
    <col min="21" max="27" width="10.44140625" bestFit="1" customWidth="1"/>
    <col min="28" max="257" width="11.44140625" bestFit="1" customWidth="1"/>
    <col min="258" max="301" width="13.109375" bestFit="1" customWidth="1"/>
    <col min="302" max="302" width="15.6640625" bestFit="1" customWidth="1"/>
    <col min="303" max="303" width="17.21875" bestFit="1" customWidth="1"/>
    <col min="304" max="304" width="11.44140625" bestFit="1" customWidth="1"/>
    <col min="305" max="305" width="17.21875" bestFit="1" customWidth="1"/>
    <col min="306" max="306" width="11.44140625" bestFit="1" customWidth="1"/>
    <col min="307" max="307" width="17.21875" bestFit="1" customWidth="1"/>
    <col min="308" max="308" width="11.44140625" bestFit="1" customWidth="1"/>
    <col min="309" max="309" width="17.21875" bestFit="1" customWidth="1"/>
    <col min="310" max="310" width="11.44140625" bestFit="1" customWidth="1"/>
    <col min="311" max="311" width="17.21875" bestFit="1" customWidth="1"/>
    <col min="312" max="312" width="11.44140625" bestFit="1" customWidth="1"/>
    <col min="313" max="313" width="17.21875" bestFit="1" customWidth="1"/>
    <col min="314" max="314" width="11.44140625" bestFit="1" customWidth="1"/>
    <col min="315" max="315" width="17.21875" bestFit="1" customWidth="1"/>
    <col min="316" max="316" width="11.44140625" bestFit="1" customWidth="1"/>
    <col min="317" max="317" width="17.21875" bestFit="1" customWidth="1"/>
    <col min="318" max="318" width="11.44140625" bestFit="1" customWidth="1"/>
    <col min="319" max="319" width="17.21875" bestFit="1" customWidth="1"/>
    <col min="320" max="320" width="11.44140625" bestFit="1" customWidth="1"/>
    <col min="321" max="321" width="17.21875" bestFit="1" customWidth="1"/>
    <col min="322" max="322" width="11.44140625" bestFit="1" customWidth="1"/>
    <col min="323" max="323" width="17.21875" bestFit="1" customWidth="1"/>
    <col min="324" max="324" width="11.44140625" bestFit="1" customWidth="1"/>
    <col min="325" max="325" width="17.21875" bestFit="1" customWidth="1"/>
    <col min="326" max="326" width="11.44140625" bestFit="1" customWidth="1"/>
    <col min="327" max="327" width="17.21875" bestFit="1" customWidth="1"/>
    <col min="328" max="328" width="11.44140625" bestFit="1" customWidth="1"/>
    <col min="329" max="329" width="17.21875" bestFit="1" customWidth="1"/>
    <col min="330" max="330" width="11.44140625" bestFit="1" customWidth="1"/>
    <col min="331" max="331" width="17.21875" bestFit="1" customWidth="1"/>
    <col min="332" max="332" width="11.44140625" bestFit="1" customWidth="1"/>
    <col min="333" max="333" width="17.21875" bestFit="1" customWidth="1"/>
    <col min="334" max="334" width="11.44140625" bestFit="1" customWidth="1"/>
    <col min="335" max="335" width="17.21875" bestFit="1" customWidth="1"/>
    <col min="336" max="336" width="11.44140625" bestFit="1" customWidth="1"/>
    <col min="337" max="337" width="17.21875" bestFit="1" customWidth="1"/>
    <col min="338" max="338" width="11.44140625" bestFit="1" customWidth="1"/>
    <col min="339" max="339" width="17.21875" bestFit="1" customWidth="1"/>
    <col min="340" max="340" width="11.44140625" bestFit="1" customWidth="1"/>
    <col min="341" max="341" width="17.21875" bestFit="1" customWidth="1"/>
    <col min="342" max="342" width="11.44140625" bestFit="1" customWidth="1"/>
    <col min="343" max="343" width="17.21875" bestFit="1" customWidth="1"/>
    <col min="344" max="344" width="11.44140625" bestFit="1" customWidth="1"/>
    <col min="345" max="345" width="17.21875" bestFit="1" customWidth="1"/>
    <col min="346" max="346" width="11.44140625" bestFit="1" customWidth="1"/>
    <col min="347" max="347" width="17.21875" bestFit="1" customWidth="1"/>
    <col min="348" max="348" width="11.44140625" bestFit="1" customWidth="1"/>
    <col min="349" max="349" width="17.21875" bestFit="1" customWidth="1"/>
    <col min="350" max="350" width="11.44140625" bestFit="1" customWidth="1"/>
    <col min="351" max="351" width="17.21875" bestFit="1" customWidth="1"/>
    <col min="352" max="352" width="11.44140625" bestFit="1" customWidth="1"/>
    <col min="353" max="353" width="17.21875" bestFit="1" customWidth="1"/>
    <col min="354" max="354" width="11.44140625" bestFit="1" customWidth="1"/>
    <col min="355" max="355" width="17.21875" bestFit="1" customWidth="1"/>
    <col min="356" max="356" width="11.44140625" bestFit="1" customWidth="1"/>
    <col min="357" max="357" width="17.21875" bestFit="1" customWidth="1"/>
    <col min="358" max="358" width="11.44140625" bestFit="1" customWidth="1"/>
    <col min="359" max="359" width="17.21875" bestFit="1" customWidth="1"/>
    <col min="360" max="360" width="11.44140625" bestFit="1" customWidth="1"/>
    <col min="361" max="361" width="17.21875" bestFit="1" customWidth="1"/>
    <col min="362" max="362" width="11.44140625" bestFit="1" customWidth="1"/>
    <col min="363" max="363" width="17.21875" bestFit="1" customWidth="1"/>
    <col min="364" max="364" width="11.44140625" bestFit="1" customWidth="1"/>
    <col min="365" max="365" width="17.21875" bestFit="1" customWidth="1"/>
    <col min="366" max="366" width="11.44140625" bestFit="1" customWidth="1"/>
    <col min="367" max="367" width="17.21875" bestFit="1" customWidth="1"/>
    <col min="368" max="368" width="11.44140625" bestFit="1" customWidth="1"/>
    <col min="369" max="369" width="17.21875" bestFit="1" customWidth="1"/>
    <col min="370" max="370" width="11.44140625" bestFit="1" customWidth="1"/>
    <col min="371" max="371" width="17.21875" bestFit="1" customWidth="1"/>
    <col min="372" max="372" width="11.44140625" bestFit="1" customWidth="1"/>
    <col min="373" max="373" width="17.21875" bestFit="1" customWidth="1"/>
    <col min="374" max="374" width="11.44140625" bestFit="1" customWidth="1"/>
    <col min="375" max="375" width="17.21875" bestFit="1" customWidth="1"/>
    <col min="376" max="376" width="11.44140625" bestFit="1" customWidth="1"/>
    <col min="377" max="377" width="17.21875" bestFit="1" customWidth="1"/>
    <col min="378" max="378" width="11.44140625" bestFit="1" customWidth="1"/>
    <col min="379" max="379" width="17.21875" bestFit="1" customWidth="1"/>
    <col min="380" max="380" width="11.44140625" bestFit="1" customWidth="1"/>
    <col min="381" max="381" width="17.21875" bestFit="1" customWidth="1"/>
    <col min="382" max="382" width="11.44140625" bestFit="1" customWidth="1"/>
    <col min="383" max="383" width="17.21875" bestFit="1" customWidth="1"/>
    <col min="384" max="384" width="11.44140625" bestFit="1" customWidth="1"/>
    <col min="385" max="385" width="17.21875" bestFit="1" customWidth="1"/>
    <col min="386" max="386" width="11.44140625" bestFit="1" customWidth="1"/>
    <col min="387" max="387" width="17.21875" bestFit="1" customWidth="1"/>
    <col min="388" max="388" width="11.44140625" bestFit="1" customWidth="1"/>
    <col min="389" max="389" width="17.21875" bestFit="1" customWidth="1"/>
    <col min="390" max="390" width="11.44140625" bestFit="1" customWidth="1"/>
    <col min="391" max="391" width="17.21875" bestFit="1" customWidth="1"/>
    <col min="392" max="392" width="11.44140625" bestFit="1" customWidth="1"/>
    <col min="393" max="393" width="17.21875" bestFit="1" customWidth="1"/>
    <col min="394" max="394" width="11.44140625" bestFit="1" customWidth="1"/>
    <col min="395" max="395" width="17.21875" bestFit="1" customWidth="1"/>
    <col min="396" max="396" width="11.44140625" bestFit="1" customWidth="1"/>
    <col min="397" max="397" width="17.21875" bestFit="1" customWidth="1"/>
    <col min="398" max="398" width="11.44140625" bestFit="1" customWidth="1"/>
    <col min="399" max="399" width="17.21875" bestFit="1" customWidth="1"/>
    <col min="400" max="400" width="11.44140625" bestFit="1" customWidth="1"/>
    <col min="401" max="401" width="17.21875" bestFit="1" customWidth="1"/>
    <col min="402" max="402" width="11.44140625" bestFit="1" customWidth="1"/>
    <col min="403" max="403" width="17.21875" bestFit="1" customWidth="1"/>
    <col min="404" max="404" width="11.44140625" bestFit="1" customWidth="1"/>
    <col min="405" max="405" width="17.21875" bestFit="1" customWidth="1"/>
    <col min="406" max="406" width="11.44140625" bestFit="1" customWidth="1"/>
    <col min="407" max="407" width="17.21875" bestFit="1" customWidth="1"/>
    <col min="408" max="408" width="11.44140625" bestFit="1" customWidth="1"/>
    <col min="409" max="409" width="17.21875" bestFit="1" customWidth="1"/>
    <col min="410" max="410" width="11.44140625" bestFit="1" customWidth="1"/>
    <col min="411" max="411" width="17.21875" bestFit="1" customWidth="1"/>
    <col min="412" max="412" width="11.44140625" bestFit="1" customWidth="1"/>
    <col min="413" max="413" width="17.21875" bestFit="1" customWidth="1"/>
    <col min="414" max="414" width="11.44140625" bestFit="1" customWidth="1"/>
    <col min="415" max="415" width="17.21875" bestFit="1" customWidth="1"/>
    <col min="416" max="416" width="11.44140625" bestFit="1" customWidth="1"/>
    <col min="417" max="417" width="17.21875" bestFit="1" customWidth="1"/>
    <col min="418" max="418" width="11.44140625" bestFit="1" customWidth="1"/>
    <col min="419" max="419" width="17.21875" bestFit="1" customWidth="1"/>
    <col min="420" max="420" width="11.44140625" bestFit="1" customWidth="1"/>
    <col min="421" max="421" width="17.21875" bestFit="1" customWidth="1"/>
    <col min="422" max="422" width="11.44140625" bestFit="1" customWidth="1"/>
    <col min="423" max="423" width="17.21875" bestFit="1" customWidth="1"/>
    <col min="424" max="424" width="11.44140625" bestFit="1" customWidth="1"/>
    <col min="425" max="425" width="17.21875" bestFit="1" customWidth="1"/>
    <col min="426" max="426" width="11.44140625" bestFit="1" customWidth="1"/>
    <col min="427" max="427" width="17.21875" bestFit="1" customWidth="1"/>
    <col min="428" max="428" width="11.44140625" bestFit="1" customWidth="1"/>
    <col min="429" max="429" width="17.21875" bestFit="1" customWidth="1"/>
    <col min="430" max="430" width="11.44140625" bestFit="1" customWidth="1"/>
    <col min="431" max="431" width="17.21875" bestFit="1" customWidth="1"/>
    <col min="432" max="432" width="11.44140625" bestFit="1" customWidth="1"/>
    <col min="433" max="433" width="17.21875" bestFit="1" customWidth="1"/>
    <col min="434" max="434" width="11.44140625" bestFit="1" customWidth="1"/>
    <col min="435" max="435" width="17.21875" bestFit="1" customWidth="1"/>
    <col min="436" max="436" width="11.44140625" bestFit="1" customWidth="1"/>
    <col min="437" max="437" width="17.21875" bestFit="1" customWidth="1"/>
    <col min="438" max="438" width="11.44140625" bestFit="1" customWidth="1"/>
    <col min="439" max="439" width="17.21875" bestFit="1" customWidth="1"/>
    <col min="440" max="440" width="11.44140625" bestFit="1" customWidth="1"/>
    <col min="441" max="441" width="17.21875" bestFit="1" customWidth="1"/>
    <col min="442" max="442" width="11.44140625" bestFit="1" customWidth="1"/>
    <col min="443" max="443" width="17.21875" bestFit="1" customWidth="1"/>
    <col min="444" max="444" width="11.44140625" bestFit="1" customWidth="1"/>
    <col min="445" max="445" width="17.21875" bestFit="1" customWidth="1"/>
    <col min="446" max="446" width="11.44140625" bestFit="1" customWidth="1"/>
    <col min="447" max="447" width="17.21875" bestFit="1" customWidth="1"/>
    <col min="448" max="448" width="11.44140625" bestFit="1" customWidth="1"/>
    <col min="449" max="449" width="17.21875" bestFit="1" customWidth="1"/>
    <col min="450" max="450" width="11.44140625" bestFit="1" customWidth="1"/>
    <col min="451" max="451" width="17.21875" bestFit="1" customWidth="1"/>
    <col min="452" max="452" width="11.44140625" bestFit="1" customWidth="1"/>
    <col min="453" max="453" width="17.21875" bestFit="1" customWidth="1"/>
    <col min="454" max="454" width="11.44140625" bestFit="1" customWidth="1"/>
    <col min="455" max="455" width="17.21875" bestFit="1" customWidth="1"/>
    <col min="456" max="456" width="11.44140625" bestFit="1" customWidth="1"/>
    <col min="457" max="457" width="17.21875" bestFit="1" customWidth="1"/>
    <col min="458" max="458" width="11.44140625" bestFit="1" customWidth="1"/>
    <col min="459" max="459" width="17.21875" bestFit="1" customWidth="1"/>
    <col min="460" max="460" width="11.44140625" bestFit="1" customWidth="1"/>
    <col min="461" max="461" width="17.21875" bestFit="1" customWidth="1"/>
    <col min="462" max="462" width="11.44140625" bestFit="1" customWidth="1"/>
    <col min="463" max="463" width="17.21875" bestFit="1" customWidth="1"/>
    <col min="464" max="464" width="11.44140625" bestFit="1" customWidth="1"/>
    <col min="465" max="465" width="17.21875" bestFit="1" customWidth="1"/>
    <col min="466" max="466" width="11.44140625" bestFit="1" customWidth="1"/>
    <col min="467" max="467" width="17.21875" bestFit="1" customWidth="1"/>
    <col min="468" max="468" width="11.44140625" bestFit="1" customWidth="1"/>
    <col min="469" max="469" width="17.21875" bestFit="1" customWidth="1"/>
    <col min="470" max="470" width="11.44140625" bestFit="1" customWidth="1"/>
    <col min="471" max="471" width="17.21875" bestFit="1" customWidth="1"/>
    <col min="472" max="472" width="11.44140625" bestFit="1" customWidth="1"/>
    <col min="473" max="473" width="17.21875" bestFit="1" customWidth="1"/>
    <col min="474" max="474" width="11.44140625" bestFit="1" customWidth="1"/>
    <col min="475" max="475" width="17.21875" bestFit="1" customWidth="1"/>
    <col min="476" max="476" width="11.44140625" bestFit="1" customWidth="1"/>
    <col min="477" max="477" width="17.21875" bestFit="1" customWidth="1"/>
    <col min="478" max="478" width="11.44140625" bestFit="1" customWidth="1"/>
    <col min="479" max="479" width="17.21875" bestFit="1" customWidth="1"/>
    <col min="480" max="480" width="11.44140625" bestFit="1" customWidth="1"/>
    <col min="481" max="481" width="17.21875" bestFit="1" customWidth="1"/>
    <col min="482" max="482" width="11.44140625" bestFit="1" customWidth="1"/>
    <col min="483" max="483" width="17.21875" bestFit="1" customWidth="1"/>
    <col min="484" max="484" width="11.44140625" bestFit="1" customWidth="1"/>
    <col min="485" max="485" width="17.21875" bestFit="1" customWidth="1"/>
    <col min="486" max="486" width="11.44140625" bestFit="1" customWidth="1"/>
    <col min="487" max="487" width="17.21875" bestFit="1" customWidth="1"/>
    <col min="488" max="488" width="11.44140625" bestFit="1" customWidth="1"/>
    <col min="489" max="489" width="17.21875" bestFit="1" customWidth="1"/>
    <col min="490" max="490" width="11.44140625" bestFit="1" customWidth="1"/>
    <col min="491" max="491" width="17.21875" bestFit="1" customWidth="1"/>
    <col min="492" max="492" width="11.44140625" bestFit="1" customWidth="1"/>
    <col min="493" max="493" width="17.21875" bestFit="1" customWidth="1"/>
    <col min="494" max="494" width="11.44140625" bestFit="1" customWidth="1"/>
    <col min="495" max="495" width="17.21875" bestFit="1" customWidth="1"/>
    <col min="496" max="496" width="11.44140625" bestFit="1" customWidth="1"/>
    <col min="497" max="497" width="17.21875" bestFit="1" customWidth="1"/>
    <col min="498" max="498" width="11.44140625" bestFit="1" customWidth="1"/>
    <col min="499" max="499" width="17.21875" bestFit="1" customWidth="1"/>
    <col min="500" max="500" width="11.44140625" bestFit="1" customWidth="1"/>
    <col min="501" max="501" width="17.21875" bestFit="1" customWidth="1"/>
    <col min="502" max="502" width="11.44140625" bestFit="1" customWidth="1"/>
    <col min="503" max="503" width="17.21875" bestFit="1" customWidth="1"/>
    <col min="504" max="504" width="11.44140625" bestFit="1" customWidth="1"/>
    <col min="505" max="505" width="17.21875" bestFit="1" customWidth="1"/>
    <col min="506" max="506" width="11.44140625" bestFit="1" customWidth="1"/>
    <col min="507" max="507" width="17.21875" bestFit="1" customWidth="1"/>
    <col min="508" max="508" width="11.44140625" bestFit="1" customWidth="1"/>
    <col min="509" max="509" width="17.21875" bestFit="1" customWidth="1"/>
    <col min="510" max="510" width="11.44140625" bestFit="1" customWidth="1"/>
    <col min="511" max="511" width="17.21875" bestFit="1" customWidth="1"/>
    <col min="512" max="512" width="11.44140625" bestFit="1" customWidth="1"/>
    <col min="513" max="513" width="17.21875" bestFit="1" customWidth="1"/>
    <col min="514" max="514" width="13.109375" bestFit="1" customWidth="1"/>
    <col min="515" max="515" width="18.77734375" bestFit="1" customWidth="1"/>
    <col min="516" max="516" width="13.109375" bestFit="1" customWidth="1"/>
    <col min="517" max="517" width="18.77734375" bestFit="1" customWidth="1"/>
    <col min="518" max="518" width="13.109375" bestFit="1" customWidth="1"/>
    <col min="519" max="519" width="18.77734375" bestFit="1" customWidth="1"/>
    <col min="520" max="520" width="13.109375" bestFit="1" customWidth="1"/>
    <col min="521" max="521" width="18.77734375" bestFit="1" customWidth="1"/>
    <col min="522" max="522" width="13.109375" bestFit="1" customWidth="1"/>
    <col min="523" max="523" width="18.77734375" bestFit="1" customWidth="1"/>
    <col min="524" max="524" width="13.109375" bestFit="1" customWidth="1"/>
    <col min="525" max="525" width="18.77734375" bestFit="1" customWidth="1"/>
    <col min="526" max="526" width="13.109375" bestFit="1" customWidth="1"/>
    <col min="527" max="527" width="18.77734375" bestFit="1" customWidth="1"/>
    <col min="528" max="528" width="13.109375" bestFit="1" customWidth="1"/>
    <col min="529" max="529" width="18.77734375" bestFit="1" customWidth="1"/>
    <col min="530" max="530" width="13.109375" bestFit="1" customWidth="1"/>
    <col min="531" max="531" width="18.77734375" bestFit="1" customWidth="1"/>
    <col min="532" max="532" width="13.109375" bestFit="1" customWidth="1"/>
    <col min="533" max="533" width="18.77734375" bestFit="1" customWidth="1"/>
    <col min="534" max="534" width="13.109375" bestFit="1" customWidth="1"/>
    <col min="535" max="535" width="18.77734375" bestFit="1" customWidth="1"/>
    <col min="536" max="536" width="13.109375" bestFit="1" customWidth="1"/>
    <col min="537" max="537" width="18.77734375" bestFit="1" customWidth="1"/>
    <col min="538" max="538" width="13.109375" bestFit="1" customWidth="1"/>
    <col min="539" max="539" width="18.77734375" bestFit="1" customWidth="1"/>
    <col min="540" max="540" width="13.109375" bestFit="1" customWidth="1"/>
    <col min="541" max="541" width="18.77734375" bestFit="1" customWidth="1"/>
    <col min="542" max="542" width="13.109375" bestFit="1" customWidth="1"/>
    <col min="543" max="543" width="18.77734375" bestFit="1" customWidth="1"/>
    <col min="544" max="544" width="13.109375" bestFit="1" customWidth="1"/>
    <col min="545" max="545" width="18.77734375" bestFit="1" customWidth="1"/>
    <col min="546" max="546" width="13.109375" bestFit="1" customWidth="1"/>
    <col min="547" max="547" width="18.77734375" bestFit="1" customWidth="1"/>
    <col min="548" max="548" width="13.109375" bestFit="1" customWidth="1"/>
    <col min="549" max="549" width="18.77734375" bestFit="1" customWidth="1"/>
    <col min="550" max="550" width="13.109375" bestFit="1" customWidth="1"/>
    <col min="551" max="551" width="18.77734375" bestFit="1" customWidth="1"/>
    <col min="552" max="552" width="13.109375" bestFit="1" customWidth="1"/>
    <col min="553" max="553" width="18.77734375" bestFit="1" customWidth="1"/>
    <col min="554" max="554" width="13.109375" bestFit="1" customWidth="1"/>
    <col min="555" max="555" width="18.77734375" bestFit="1" customWidth="1"/>
    <col min="556" max="556" width="13.109375" bestFit="1" customWidth="1"/>
    <col min="557" max="557" width="18.77734375" bestFit="1" customWidth="1"/>
    <col min="558" max="558" width="13.109375" bestFit="1" customWidth="1"/>
    <col min="559" max="559" width="18.77734375" bestFit="1" customWidth="1"/>
    <col min="560" max="560" width="13.109375" bestFit="1" customWidth="1"/>
    <col min="561" max="561" width="18.77734375" bestFit="1" customWidth="1"/>
    <col min="562" max="562" width="13.109375" bestFit="1" customWidth="1"/>
    <col min="563" max="563" width="18.77734375" bestFit="1" customWidth="1"/>
    <col min="564" max="564" width="13.109375" bestFit="1" customWidth="1"/>
    <col min="565" max="565" width="18.77734375" bestFit="1" customWidth="1"/>
    <col min="566" max="566" width="13.109375" bestFit="1" customWidth="1"/>
    <col min="567" max="567" width="18.77734375" bestFit="1" customWidth="1"/>
    <col min="568" max="568" width="13.109375" bestFit="1" customWidth="1"/>
    <col min="569" max="569" width="18.77734375" bestFit="1" customWidth="1"/>
    <col min="570" max="570" width="13.109375" bestFit="1" customWidth="1"/>
    <col min="571" max="571" width="18.77734375" bestFit="1" customWidth="1"/>
    <col min="572" max="572" width="13.109375" bestFit="1" customWidth="1"/>
    <col min="573" max="573" width="18.77734375" bestFit="1" customWidth="1"/>
    <col min="574" max="574" width="13.109375" bestFit="1" customWidth="1"/>
    <col min="575" max="575" width="18.77734375" bestFit="1" customWidth="1"/>
    <col min="576" max="576" width="13.109375" bestFit="1" customWidth="1"/>
    <col min="577" max="577" width="18.77734375" bestFit="1" customWidth="1"/>
    <col min="578" max="578" width="13.109375" bestFit="1" customWidth="1"/>
    <col min="579" max="579" width="18.77734375" bestFit="1" customWidth="1"/>
    <col min="580" max="580" width="13.109375" bestFit="1" customWidth="1"/>
    <col min="581" max="581" width="18.77734375" bestFit="1" customWidth="1"/>
    <col min="582" max="582" width="13.109375" bestFit="1" customWidth="1"/>
    <col min="583" max="583" width="18.77734375" bestFit="1" customWidth="1"/>
    <col min="584" max="584" width="13.109375" bestFit="1" customWidth="1"/>
    <col min="585" max="585" width="18.77734375" bestFit="1" customWidth="1"/>
    <col min="586" max="586" width="13.109375" bestFit="1" customWidth="1"/>
    <col min="587" max="587" width="18.77734375" bestFit="1" customWidth="1"/>
    <col min="588" max="588" width="13.109375" bestFit="1" customWidth="1"/>
    <col min="589" max="589" width="18.77734375" bestFit="1" customWidth="1"/>
    <col min="590" max="590" width="13.109375" bestFit="1" customWidth="1"/>
    <col min="591" max="591" width="18.77734375" bestFit="1" customWidth="1"/>
    <col min="592" max="592" width="13.109375" bestFit="1" customWidth="1"/>
    <col min="593" max="593" width="18.77734375" bestFit="1" customWidth="1"/>
    <col min="594" max="594" width="13.109375" bestFit="1" customWidth="1"/>
    <col min="595" max="595" width="18.77734375" bestFit="1" customWidth="1"/>
    <col min="596" max="596" width="13.109375" bestFit="1" customWidth="1"/>
    <col min="597" max="597" width="18.77734375" bestFit="1" customWidth="1"/>
    <col min="598" max="598" width="13.109375" bestFit="1" customWidth="1"/>
    <col min="599" max="599" width="18.77734375" bestFit="1" customWidth="1"/>
    <col min="600" max="600" width="13.109375" bestFit="1" customWidth="1"/>
    <col min="601" max="601" width="18.77734375" bestFit="1" customWidth="1"/>
    <col min="602" max="602" width="11.6640625" bestFit="1" customWidth="1"/>
  </cols>
  <sheetData>
    <row r="3" spans="1:4" x14ac:dyDescent="0.3">
      <c r="A3" t="s">
        <v>465</v>
      </c>
      <c r="B3" t="s">
        <v>468</v>
      </c>
      <c r="C3" t="s">
        <v>466</v>
      </c>
      <c r="D3" t="s">
        <v>467</v>
      </c>
    </row>
    <row r="4" spans="1:4" x14ac:dyDescent="0.3">
      <c r="A4" s="12">
        <v>74950835</v>
      </c>
      <c r="B4" s="17">
        <v>78659</v>
      </c>
      <c r="C4" s="15">
        <v>58303573.760000005</v>
      </c>
      <c r="D4" s="15">
        <v>16647261.239999998</v>
      </c>
    </row>
    <row r="7" spans="1:4" x14ac:dyDescent="0.3">
      <c r="A7" s="3" t="s">
        <v>463</v>
      </c>
      <c r="B7" t="s">
        <v>465</v>
      </c>
    </row>
    <row r="8" spans="1:4" x14ac:dyDescent="0.3">
      <c r="A8" s="4" t="s">
        <v>338</v>
      </c>
      <c r="B8" s="12">
        <v>5529653</v>
      </c>
    </row>
    <row r="9" spans="1:4" x14ac:dyDescent="0.3">
      <c r="A9" s="4" t="s">
        <v>341</v>
      </c>
      <c r="B9" s="12">
        <v>6124230</v>
      </c>
    </row>
    <row r="10" spans="1:4" x14ac:dyDescent="0.3">
      <c r="A10" s="4" t="s">
        <v>342</v>
      </c>
      <c r="B10" s="12">
        <v>5113127</v>
      </c>
    </row>
    <row r="11" spans="1:4" x14ac:dyDescent="0.3">
      <c r="A11" s="4" t="s">
        <v>343</v>
      </c>
      <c r="B11" s="12">
        <v>7270642</v>
      </c>
    </row>
    <row r="12" spans="1:4" x14ac:dyDescent="0.3">
      <c r="A12" s="4" t="s">
        <v>344</v>
      </c>
      <c r="B12" s="12">
        <v>7228705</v>
      </c>
    </row>
    <row r="13" spans="1:4" x14ac:dyDescent="0.3">
      <c r="A13" s="4" t="s">
        <v>345</v>
      </c>
      <c r="B13" s="12">
        <v>8035651</v>
      </c>
    </row>
    <row r="14" spans="1:4" x14ac:dyDescent="0.3">
      <c r="A14" s="4" t="s">
        <v>346</v>
      </c>
      <c r="B14" s="12">
        <v>6001245</v>
      </c>
    </row>
    <row r="15" spans="1:4" x14ac:dyDescent="0.3">
      <c r="A15" s="4" t="s">
        <v>347</v>
      </c>
      <c r="B15" s="12">
        <v>7968640</v>
      </c>
    </row>
    <row r="16" spans="1:4" x14ac:dyDescent="0.3">
      <c r="A16" s="4" t="s">
        <v>348</v>
      </c>
      <c r="B16" s="12">
        <v>5255175</v>
      </c>
    </row>
    <row r="17" spans="1:2" x14ac:dyDescent="0.3">
      <c r="A17" s="4" t="s">
        <v>349</v>
      </c>
      <c r="B17" s="12">
        <v>6473273</v>
      </c>
    </row>
    <row r="18" spans="1:2" x14ac:dyDescent="0.3">
      <c r="A18" s="4" t="s">
        <v>350</v>
      </c>
      <c r="B18" s="12">
        <v>4345358</v>
      </c>
    </row>
    <row r="19" spans="1:2" x14ac:dyDescent="0.3">
      <c r="A19" s="4" t="s">
        <v>351</v>
      </c>
      <c r="B19" s="12">
        <v>5605136</v>
      </c>
    </row>
    <row r="20" spans="1:2" x14ac:dyDescent="0.3">
      <c r="A20" s="4" t="s">
        <v>464</v>
      </c>
      <c r="B20" s="12">
        <v>74950835</v>
      </c>
    </row>
    <row r="24" spans="1:2" x14ac:dyDescent="0.3">
      <c r="A24" s="3" t="s">
        <v>463</v>
      </c>
      <c r="B24" t="s">
        <v>473</v>
      </c>
    </row>
    <row r="25" spans="1:2" x14ac:dyDescent="0.3">
      <c r="A25" s="4" t="s">
        <v>13</v>
      </c>
      <c r="B25" s="17">
        <v>79</v>
      </c>
    </row>
    <row r="26" spans="1:2" x14ac:dyDescent="0.3">
      <c r="A26" s="4" t="s">
        <v>28</v>
      </c>
      <c r="B26" s="17">
        <v>77</v>
      </c>
    </row>
    <row r="27" spans="1:2" x14ac:dyDescent="0.3">
      <c r="A27" s="4" t="s">
        <v>40</v>
      </c>
      <c r="B27" s="17">
        <v>76</v>
      </c>
    </row>
    <row r="28" spans="1:2" x14ac:dyDescent="0.3">
      <c r="A28" s="4" t="s">
        <v>25</v>
      </c>
      <c r="B28" s="17">
        <v>68</v>
      </c>
    </row>
    <row r="29" spans="1:2" x14ac:dyDescent="0.3">
      <c r="A29" s="4" t="s">
        <v>464</v>
      </c>
      <c r="B29" s="17">
        <v>300</v>
      </c>
    </row>
    <row r="40" spans="1:2" x14ac:dyDescent="0.3">
      <c r="A40" s="3" t="s">
        <v>463</v>
      </c>
      <c r="B40" t="s">
        <v>465</v>
      </c>
    </row>
    <row r="41" spans="1:2" x14ac:dyDescent="0.3">
      <c r="A41" s="4" t="s">
        <v>76</v>
      </c>
      <c r="B41" s="5">
        <v>8656625</v>
      </c>
    </row>
    <row r="42" spans="1:2" x14ac:dyDescent="0.3">
      <c r="A42" s="4" t="s">
        <v>37</v>
      </c>
      <c r="B42" s="5">
        <v>10935157</v>
      </c>
    </row>
    <row r="43" spans="1:2" x14ac:dyDescent="0.3">
      <c r="A43" s="4" t="s">
        <v>14</v>
      </c>
      <c r="B43" s="5">
        <v>7867005</v>
      </c>
    </row>
    <row r="44" spans="1:2" x14ac:dyDescent="0.3">
      <c r="A44" s="4" t="s">
        <v>41</v>
      </c>
      <c r="B44" s="5">
        <v>9874123</v>
      </c>
    </row>
    <row r="45" spans="1:2" x14ac:dyDescent="0.3">
      <c r="A45" s="4" t="s">
        <v>18</v>
      </c>
      <c r="B45" s="5">
        <v>7081702</v>
      </c>
    </row>
    <row r="46" spans="1:2" x14ac:dyDescent="0.3">
      <c r="A46" s="4" t="s">
        <v>20</v>
      </c>
      <c r="B46" s="5">
        <v>5761392</v>
      </c>
    </row>
    <row r="47" spans="1:2" x14ac:dyDescent="0.3">
      <c r="A47" s="4" t="s">
        <v>29</v>
      </c>
      <c r="B47" s="5">
        <v>8680999</v>
      </c>
    </row>
    <row r="48" spans="1:2" x14ac:dyDescent="0.3">
      <c r="A48" s="4" t="s">
        <v>50</v>
      </c>
      <c r="B48" s="5">
        <v>6993491</v>
      </c>
    </row>
    <row r="49" spans="1:2" x14ac:dyDescent="0.3">
      <c r="A49" s="4" t="s">
        <v>26</v>
      </c>
      <c r="B49" s="5">
        <v>9100341</v>
      </c>
    </row>
    <row r="50" spans="1:2" x14ac:dyDescent="0.3">
      <c r="A50" s="4" t="s">
        <v>464</v>
      </c>
      <c r="B50" s="5">
        <v>74950835</v>
      </c>
    </row>
    <row r="55" spans="1:2" x14ac:dyDescent="0.3">
      <c r="A55" s="3" t="s">
        <v>463</v>
      </c>
      <c r="B55" t="s">
        <v>465</v>
      </c>
    </row>
    <row r="56" spans="1:2" x14ac:dyDescent="0.3">
      <c r="A56" s="4" t="s">
        <v>469</v>
      </c>
      <c r="B56" s="5">
        <v>16767010</v>
      </c>
    </row>
    <row r="57" spans="1:2" x14ac:dyDescent="0.3">
      <c r="A57" s="4" t="s">
        <v>470</v>
      </c>
      <c r="B57" s="5">
        <v>22534998</v>
      </c>
    </row>
    <row r="58" spans="1:2" x14ac:dyDescent="0.3">
      <c r="A58" s="4" t="s">
        <v>471</v>
      </c>
      <c r="B58" s="5">
        <v>19225060</v>
      </c>
    </row>
    <row r="59" spans="1:2" x14ac:dyDescent="0.3">
      <c r="A59" s="4" t="s">
        <v>472</v>
      </c>
      <c r="B59" s="5">
        <v>16423767</v>
      </c>
    </row>
    <row r="60" spans="1:2" x14ac:dyDescent="0.3">
      <c r="A60" s="4" t="s">
        <v>464</v>
      </c>
      <c r="B60" s="5">
        <v>74950835</v>
      </c>
    </row>
    <row r="63" spans="1:2" x14ac:dyDescent="0.3">
      <c r="A63" s="3" t="s">
        <v>463</v>
      </c>
      <c r="B63" t="s">
        <v>465</v>
      </c>
    </row>
    <row r="64" spans="1:2" x14ac:dyDescent="0.3">
      <c r="A64" s="13">
        <v>45660</v>
      </c>
      <c r="B64" s="5">
        <v>444501</v>
      </c>
    </row>
    <row r="65" spans="1:2" x14ac:dyDescent="0.3">
      <c r="A65" s="13">
        <v>45662</v>
      </c>
      <c r="B65" s="5">
        <v>118160</v>
      </c>
    </row>
    <row r="66" spans="1:2" x14ac:dyDescent="0.3">
      <c r="A66" s="13">
        <v>45663</v>
      </c>
      <c r="B66" s="5">
        <v>27950</v>
      </c>
    </row>
    <row r="67" spans="1:2" x14ac:dyDescent="0.3">
      <c r="A67" s="13">
        <v>45664</v>
      </c>
      <c r="B67" s="5">
        <v>54723</v>
      </c>
    </row>
    <row r="68" spans="1:2" x14ac:dyDescent="0.3">
      <c r="A68" s="13">
        <v>45669</v>
      </c>
      <c r="B68" s="5">
        <v>195048</v>
      </c>
    </row>
    <row r="69" spans="1:2" x14ac:dyDescent="0.3">
      <c r="A69" s="13">
        <v>45670</v>
      </c>
      <c r="B69" s="5">
        <v>26280</v>
      </c>
    </row>
    <row r="70" spans="1:2" x14ac:dyDescent="0.3">
      <c r="A70" s="13">
        <v>45671</v>
      </c>
      <c r="B70" s="5">
        <v>525254</v>
      </c>
    </row>
    <row r="71" spans="1:2" x14ac:dyDescent="0.3">
      <c r="A71" s="13">
        <v>45672</v>
      </c>
      <c r="B71" s="5">
        <v>583575</v>
      </c>
    </row>
    <row r="72" spans="1:2" x14ac:dyDescent="0.3">
      <c r="A72" s="13">
        <v>45673</v>
      </c>
      <c r="B72" s="5">
        <v>75360</v>
      </c>
    </row>
    <row r="73" spans="1:2" x14ac:dyDescent="0.3">
      <c r="A73" s="13">
        <v>45674</v>
      </c>
      <c r="B73" s="5">
        <v>27573</v>
      </c>
    </row>
    <row r="74" spans="1:2" x14ac:dyDescent="0.3">
      <c r="A74" s="13">
        <v>45678</v>
      </c>
      <c r="B74" s="5">
        <v>459680</v>
      </c>
    </row>
    <row r="75" spans="1:2" x14ac:dyDescent="0.3">
      <c r="A75" s="13">
        <v>45681</v>
      </c>
      <c r="B75" s="5">
        <v>280937</v>
      </c>
    </row>
    <row r="76" spans="1:2" x14ac:dyDescent="0.3">
      <c r="A76" s="13">
        <v>45682</v>
      </c>
      <c r="B76" s="5">
        <v>1117943</v>
      </c>
    </row>
    <row r="77" spans="1:2" x14ac:dyDescent="0.3">
      <c r="A77" s="13">
        <v>45683</v>
      </c>
      <c r="B77" s="5">
        <v>194805</v>
      </c>
    </row>
    <row r="78" spans="1:2" x14ac:dyDescent="0.3">
      <c r="A78" s="13">
        <v>45684</v>
      </c>
      <c r="B78" s="5">
        <v>171684</v>
      </c>
    </row>
    <row r="79" spans="1:2" x14ac:dyDescent="0.3">
      <c r="A79" s="13">
        <v>45685</v>
      </c>
      <c r="B79" s="5">
        <v>389593</v>
      </c>
    </row>
    <row r="80" spans="1:2" x14ac:dyDescent="0.3">
      <c r="A80" s="13">
        <v>45686</v>
      </c>
      <c r="B80" s="5">
        <v>346880</v>
      </c>
    </row>
    <row r="81" spans="1:2" x14ac:dyDescent="0.3">
      <c r="A81" s="13">
        <v>45689</v>
      </c>
      <c r="B81" s="5">
        <v>243712</v>
      </c>
    </row>
    <row r="82" spans="1:2" x14ac:dyDescent="0.3">
      <c r="A82" s="13">
        <v>45691</v>
      </c>
      <c r="B82" s="5">
        <v>83368</v>
      </c>
    </row>
    <row r="83" spans="1:2" x14ac:dyDescent="0.3">
      <c r="A83" s="13">
        <v>45693</v>
      </c>
      <c r="B83" s="5">
        <v>292108</v>
      </c>
    </row>
    <row r="84" spans="1:2" x14ac:dyDescent="0.3">
      <c r="A84" s="13">
        <v>45694</v>
      </c>
      <c r="B84" s="5">
        <v>37240</v>
      </c>
    </row>
    <row r="85" spans="1:2" x14ac:dyDescent="0.3">
      <c r="A85" s="13">
        <v>45695</v>
      </c>
      <c r="B85" s="5">
        <v>145854</v>
      </c>
    </row>
    <row r="86" spans="1:2" x14ac:dyDescent="0.3">
      <c r="A86" s="13">
        <v>45696</v>
      </c>
      <c r="B86" s="5">
        <v>216678</v>
      </c>
    </row>
    <row r="87" spans="1:2" x14ac:dyDescent="0.3">
      <c r="A87" s="13">
        <v>45700</v>
      </c>
      <c r="B87" s="5">
        <v>275500</v>
      </c>
    </row>
    <row r="88" spans="1:2" x14ac:dyDescent="0.3">
      <c r="A88" s="13">
        <v>45701</v>
      </c>
      <c r="B88" s="5">
        <v>401016</v>
      </c>
    </row>
    <row r="89" spans="1:2" x14ac:dyDescent="0.3">
      <c r="A89" s="13">
        <v>45702</v>
      </c>
      <c r="B89" s="5">
        <v>324952</v>
      </c>
    </row>
    <row r="90" spans="1:2" x14ac:dyDescent="0.3">
      <c r="A90" s="13">
        <v>45703</v>
      </c>
      <c r="B90" s="5">
        <v>566920</v>
      </c>
    </row>
    <row r="91" spans="1:2" x14ac:dyDescent="0.3">
      <c r="A91" s="13">
        <v>45706</v>
      </c>
      <c r="B91" s="5">
        <v>438208</v>
      </c>
    </row>
    <row r="92" spans="1:2" x14ac:dyDescent="0.3">
      <c r="A92" s="13">
        <v>45707</v>
      </c>
      <c r="B92" s="5">
        <v>327278</v>
      </c>
    </row>
    <row r="93" spans="1:2" x14ac:dyDescent="0.3">
      <c r="A93" s="13">
        <v>45710</v>
      </c>
      <c r="B93" s="5">
        <v>264330</v>
      </c>
    </row>
    <row r="94" spans="1:2" x14ac:dyDescent="0.3">
      <c r="A94" s="13">
        <v>45711</v>
      </c>
      <c r="B94" s="5">
        <v>846042</v>
      </c>
    </row>
    <row r="95" spans="1:2" x14ac:dyDescent="0.3">
      <c r="A95" s="13">
        <v>45712</v>
      </c>
      <c r="B95" s="5">
        <v>42688</v>
      </c>
    </row>
    <row r="96" spans="1:2" x14ac:dyDescent="0.3">
      <c r="A96" s="13">
        <v>45713</v>
      </c>
      <c r="B96" s="5">
        <v>465011</v>
      </c>
    </row>
    <row r="97" spans="1:2" x14ac:dyDescent="0.3">
      <c r="A97" s="13">
        <v>45714</v>
      </c>
      <c r="B97" s="5">
        <v>755291</v>
      </c>
    </row>
    <row r="98" spans="1:2" x14ac:dyDescent="0.3">
      <c r="A98" s="13">
        <v>45716</v>
      </c>
      <c r="B98" s="5">
        <v>398034</v>
      </c>
    </row>
    <row r="99" spans="1:2" x14ac:dyDescent="0.3">
      <c r="A99" s="13">
        <v>45717</v>
      </c>
      <c r="B99" s="5">
        <v>486522</v>
      </c>
    </row>
    <row r="100" spans="1:2" x14ac:dyDescent="0.3">
      <c r="A100" s="13">
        <v>45718</v>
      </c>
      <c r="B100" s="5">
        <v>313668</v>
      </c>
    </row>
    <row r="101" spans="1:2" x14ac:dyDescent="0.3">
      <c r="A101" s="13">
        <v>45719</v>
      </c>
      <c r="B101" s="5">
        <v>553570</v>
      </c>
    </row>
    <row r="102" spans="1:2" x14ac:dyDescent="0.3">
      <c r="A102" s="13">
        <v>45720</v>
      </c>
      <c r="B102" s="5">
        <v>264592</v>
      </c>
    </row>
    <row r="103" spans="1:2" x14ac:dyDescent="0.3">
      <c r="A103" s="13">
        <v>45722</v>
      </c>
      <c r="B103" s="5">
        <v>66792</v>
      </c>
    </row>
    <row r="104" spans="1:2" x14ac:dyDescent="0.3">
      <c r="A104" s="13">
        <v>45725</v>
      </c>
      <c r="B104" s="5">
        <v>319466</v>
      </c>
    </row>
    <row r="105" spans="1:2" x14ac:dyDescent="0.3">
      <c r="A105" s="13">
        <v>45726</v>
      </c>
      <c r="B105" s="5">
        <v>203250</v>
      </c>
    </row>
    <row r="106" spans="1:2" x14ac:dyDescent="0.3">
      <c r="A106" s="13">
        <v>45729</v>
      </c>
      <c r="B106" s="5">
        <v>389186</v>
      </c>
    </row>
    <row r="107" spans="1:2" x14ac:dyDescent="0.3">
      <c r="A107" s="13">
        <v>45732</v>
      </c>
      <c r="B107" s="5">
        <v>58758</v>
      </c>
    </row>
    <row r="108" spans="1:2" x14ac:dyDescent="0.3">
      <c r="A108" s="13">
        <v>45733</v>
      </c>
      <c r="B108" s="5">
        <v>424732</v>
      </c>
    </row>
    <row r="109" spans="1:2" x14ac:dyDescent="0.3">
      <c r="A109" s="13">
        <v>45734</v>
      </c>
      <c r="B109" s="5">
        <v>406475</v>
      </c>
    </row>
    <row r="110" spans="1:2" x14ac:dyDescent="0.3">
      <c r="A110" s="13">
        <v>45737</v>
      </c>
      <c r="B110" s="5">
        <v>384572</v>
      </c>
    </row>
    <row r="111" spans="1:2" x14ac:dyDescent="0.3">
      <c r="A111" s="13">
        <v>45745</v>
      </c>
      <c r="B111" s="5">
        <v>302965</v>
      </c>
    </row>
    <row r="112" spans="1:2" x14ac:dyDescent="0.3">
      <c r="A112" s="13">
        <v>45746</v>
      </c>
      <c r="B112" s="5">
        <v>627674</v>
      </c>
    </row>
    <row r="113" spans="1:2" x14ac:dyDescent="0.3">
      <c r="A113" s="13">
        <v>45747</v>
      </c>
      <c r="B113" s="5">
        <v>310905</v>
      </c>
    </row>
    <row r="114" spans="1:2" x14ac:dyDescent="0.3">
      <c r="A114" s="13">
        <v>45749</v>
      </c>
      <c r="B114" s="5">
        <v>243942</v>
      </c>
    </row>
    <row r="115" spans="1:2" x14ac:dyDescent="0.3">
      <c r="A115" s="13">
        <v>45750</v>
      </c>
      <c r="B115" s="5">
        <v>476707</v>
      </c>
    </row>
    <row r="116" spans="1:2" x14ac:dyDescent="0.3">
      <c r="A116" s="13">
        <v>45751</v>
      </c>
      <c r="B116" s="5">
        <v>338469</v>
      </c>
    </row>
    <row r="117" spans="1:2" x14ac:dyDescent="0.3">
      <c r="A117" s="13">
        <v>45752</v>
      </c>
      <c r="B117" s="5">
        <v>62445</v>
      </c>
    </row>
    <row r="118" spans="1:2" x14ac:dyDescent="0.3">
      <c r="A118" s="13">
        <v>45758</v>
      </c>
      <c r="B118" s="5">
        <v>303133</v>
      </c>
    </row>
    <row r="119" spans="1:2" x14ac:dyDescent="0.3">
      <c r="A119" s="13">
        <v>45761</v>
      </c>
      <c r="B119" s="5">
        <v>585932</v>
      </c>
    </row>
    <row r="120" spans="1:2" x14ac:dyDescent="0.3">
      <c r="A120" s="13">
        <v>45762</v>
      </c>
      <c r="B120" s="5">
        <v>576576</v>
      </c>
    </row>
    <row r="121" spans="1:2" x14ac:dyDescent="0.3">
      <c r="A121" s="13">
        <v>45763</v>
      </c>
      <c r="B121" s="5">
        <v>215280</v>
      </c>
    </row>
    <row r="122" spans="1:2" x14ac:dyDescent="0.3">
      <c r="A122" s="13">
        <v>45764</v>
      </c>
      <c r="B122" s="5">
        <v>189688</v>
      </c>
    </row>
    <row r="123" spans="1:2" x14ac:dyDescent="0.3">
      <c r="A123" s="13">
        <v>45765</v>
      </c>
      <c r="B123" s="5">
        <v>920512</v>
      </c>
    </row>
    <row r="124" spans="1:2" x14ac:dyDescent="0.3">
      <c r="A124" s="13">
        <v>45766</v>
      </c>
      <c r="B124" s="5">
        <v>808763</v>
      </c>
    </row>
    <row r="125" spans="1:2" x14ac:dyDescent="0.3">
      <c r="A125" s="13">
        <v>45767</v>
      </c>
      <c r="B125" s="5">
        <v>627810</v>
      </c>
    </row>
    <row r="126" spans="1:2" x14ac:dyDescent="0.3">
      <c r="A126" s="13">
        <v>45769</v>
      </c>
      <c r="B126" s="5">
        <v>683970</v>
      </c>
    </row>
    <row r="127" spans="1:2" x14ac:dyDescent="0.3">
      <c r="A127" s="13">
        <v>45770</v>
      </c>
      <c r="B127" s="5">
        <v>354235</v>
      </c>
    </row>
    <row r="128" spans="1:2" x14ac:dyDescent="0.3">
      <c r="A128" s="13">
        <v>45771</v>
      </c>
      <c r="B128" s="5">
        <v>19080</v>
      </c>
    </row>
    <row r="129" spans="1:2" x14ac:dyDescent="0.3">
      <c r="A129" s="13">
        <v>45772</v>
      </c>
      <c r="B129" s="5">
        <v>218400</v>
      </c>
    </row>
    <row r="130" spans="1:2" x14ac:dyDescent="0.3">
      <c r="A130" s="13">
        <v>45773</v>
      </c>
      <c r="B130" s="5">
        <v>542700</v>
      </c>
    </row>
    <row r="131" spans="1:2" x14ac:dyDescent="0.3">
      <c r="A131" s="13">
        <v>45777</v>
      </c>
      <c r="B131" s="5">
        <v>103000</v>
      </c>
    </row>
    <row r="132" spans="1:2" x14ac:dyDescent="0.3">
      <c r="A132" s="13">
        <v>45778</v>
      </c>
      <c r="B132" s="5">
        <v>287280</v>
      </c>
    </row>
    <row r="133" spans="1:2" x14ac:dyDescent="0.3">
      <c r="A133" s="13">
        <v>45779</v>
      </c>
      <c r="B133" s="5">
        <v>409691</v>
      </c>
    </row>
    <row r="134" spans="1:2" x14ac:dyDescent="0.3">
      <c r="A134" s="13">
        <v>45780</v>
      </c>
      <c r="B134" s="5">
        <v>197801</v>
      </c>
    </row>
    <row r="135" spans="1:2" x14ac:dyDescent="0.3">
      <c r="A135" s="13">
        <v>45782</v>
      </c>
      <c r="B135" s="5">
        <v>238417</v>
      </c>
    </row>
    <row r="136" spans="1:2" x14ac:dyDescent="0.3">
      <c r="A136" s="13">
        <v>45783</v>
      </c>
      <c r="B136" s="5">
        <v>308660</v>
      </c>
    </row>
    <row r="137" spans="1:2" x14ac:dyDescent="0.3">
      <c r="A137" s="13">
        <v>45788</v>
      </c>
      <c r="B137" s="5">
        <v>344840</v>
      </c>
    </row>
    <row r="138" spans="1:2" x14ac:dyDescent="0.3">
      <c r="A138" s="13">
        <v>45789</v>
      </c>
      <c r="B138" s="5">
        <v>475488</v>
      </c>
    </row>
    <row r="139" spans="1:2" x14ac:dyDescent="0.3">
      <c r="A139" s="13">
        <v>45790</v>
      </c>
      <c r="B139" s="5">
        <v>410130</v>
      </c>
    </row>
    <row r="140" spans="1:2" x14ac:dyDescent="0.3">
      <c r="A140" s="13">
        <v>45792</v>
      </c>
      <c r="B140" s="5">
        <v>284328</v>
      </c>
    </row>
    <row r="141" spans="1:2" x14ac:dyDescent="0.3">
      <c r="A141" s="13">
        <v>45793</v>
      </c>
      <c r="B141" s="5">
        <v>344520</v>
      </c>
    </row>
    <row r="142" spans="1:2" x14ac:dyDescent="0.3">
      <c r="A142" s="13">
        <v>45794</v>
      </c>
      <c r="B142" s="5">
        <v>469572</v>
      </c>
    </row>
    <row r="143" spans="1:2" x14ac:dyDescent="0.3">
      <c r="A143" s="13">
        <v>45795</v>
      </c>
      <c r="B143" s="5">
        <v>184894</v>
      </c>
    </row>
    <row r="144" spans="1:2" x14ac:dyDescent="0.3">
      <c r="A144" s="13">
        <v>45796</v>
      </c>
      <c r="B144" s="5">
        <v>611100</v>
      </c>
    </row>
    <row r="145" spans="1:2" x14ac:dyDescent="0.3">
      <c r="A145" s="13">
        <v>45799</v>
      </c>
      <c r="B145" s="5">
        <v>163254</v>
      </c>
    </row>
    <row r="146" spans="1:2" x14ac:dyDescent="0.3">
      <c r="A146" s="13">
        <v>45800</v>
      </c>
      <c r="B146" s="5">
        <v>1099822</v>
      </c>
    </row>
    <row r="147" spans="1:2" x14ac:dyDescent="0.3">
      <c r="A147" s="13">
        <v>45801</v>
      </c>
      <c r="B147" s="5">
        <v>287692</v>
      </c>
    </row>
    <row r="148" spans="1:2" x14ac:dyDescent="0.3">
      <c r="A148" s="13">
        <v>45805</v>
      </c>
      <c r="B148" s="5">
        <v>488796</v>
      </c>
    </row>
    <row r="149" spans="1:2" x14ac:dyDescent="0.3">
      <c r="A149" s="13">
        <v>45806</v>
      </c>
      <c r="B149" s="5">
        <v>388360</v>
      </c>
    </row>
    <row r="150" spans="1:2" x14ac:dyDescent="0.3">
      <c r="A150" s="13">
        <v>45808</v>
      </c>
      <c r="B150" s="5">
        <v>234060</v>
      </c>
    </row>
    <row r="151" spans="1:2" x14ac:dyDescent="0.3">
      <c r="A151" s="13">
        <v>45810</v>
      </c>
      <c r="B151" s="5">
        <v>60974</v>
      </c>
    </row>
    <row r="152" spans="1:2" x14ac:dyDescent="0.3">
      <c r="A152" s="13">
        <v>45813</v>
      </c>
      <c r="B152" s="5">
        <v>540470</v>
      </c>
    </row>
    <row r="153" spans="1:2" x14ac:dyDescent="0.3">
      <c r="A153" s="13">
        <v>45814</v>
      </c>
      <c r="B153" s="5">
        <v>103632</v>
      </c>
    </row>
    <row r="154" spans="1:2" x14ac:dyDescent="0.3">
      <c r="A154" s="13">
        <v>45817</v>
      </c>
      <c r="B154" s="5">
        <v>940614</v>
      </c>
    </row>
    <row r="155" spans="1:2" x14ac:dyDescent="0.3">
      <c r="A155" s="13">
        <v>45819</v>
      </c>
      <c r="B155" s="5">
        <v>601376</v>
      </c>
    </row>
    <row r="156" spans="1:2" x14ac:dyDescent="0.3">
      <c r="A156" s="13">
        <v>45821</v>
      </c>
      <c r="B156" s="5">
        <v>35526</v>
      </c>
    </row>
    <row r="157" spans="1:2" x14ac:dyDescent="0.3">
      <c r="A157" s="13">
        <v>45822</v>
      </c>
      <c r="B157" s="5">
        <v>348804</v>
      </c>
    </row>
    <row r="158" spans="1:2" x14ac:dyDescent="0.3">
      <c r="A158" s="13">
        <v>45823</v>
      </c>
      <c r="B158" s="5">
        <v>358195</v>
      </c>
    </row>
    <row r="159" spans="1:2" x14ac:dyDescent="0.3">
      <c r="A159" s="13">
        <v>45824</v>
      </c>
      <c r="B159" s="5">
        <v>1325796</v>
      </c>
    </row>
    <row r="160" spans="1:2" x14ac:dyDescent="0.3">
      <c r="A160" s="13">
        <v>45826</v>
      </c>
      <c r="B160" s="5">
        <v>310744</v>
      </c>
    </row>
    <row r="161" spans="1:2" x14ac:dyDescent="0.3">
      <c r="A161" s="13">
        <v>45829</v>
      </c>
      <c r="B161" s="5">
        <v>949316</v>
      </c>
    </row>
    <row r="162" spans="1:2" x14ac:dyDescent="0.3">
      <c r="A162" s="13">
        <v>45830</v>
      </c>
      <c r="B162" s="5">
        <v>169737</v>
      </c>
    </row>
    <row r="163" spans="1:2" x14ac:dyDescent="0.3">
      <c r="A163" s="13">
        <v>45831</v>
      </c>
      <c r="B163" s="5">
        <v>379181</v>
      </c>
    </row>
    <row r="164" spans="1:2" x14ac:dyDescent="0.3">
      <c r="A164" s="13">
        <v>45833</v>
      </c>
      <c r="B164" s="5">
        <v>467460</v>
      </c>
    </row>
    <row r="165" spans="1:2" x14ac:dyDescent="0.3">
      <c r="A165" s="13">
        <v>45834</v>
      </c>
      <c r="B165" s="5">
        <v>870831</v>
      </c>
    </row>
    <row r="166" spans="1:2" x14ac:dyDescent="0.3">
      <c r="A166" s="13">
        <v>45835</v>
      </c>
      <c r="B166" s="5">
        <v>294252</v>
      </c>
    </row>
    <row r="167" spans="1:2" x14ac:dyDescent="0.3">
      <c r="A167" s="13">
        <v>45836</v>
      </c>
      <c r="B167" s="5">
        <v>137950</v>
      </c>
    </row>
    <row r="168" spans="1:2" x14ac:dyDescent="0.3">
      <c r="A168" s="13">
        <v>45837</v>
      </c>
      <c r="B168" s="5">
        <v>140793</v>
      </c>
    </row>
    <row r="169" spans="1:2" x14ac:dyDescent="0.3">
      <c r="A169" s="13">
        <v>45839</v>
      </c>
      <c r="B169" s="5">
        <v>271207</v>
      </c>
    </row>
    <row r="170" spans="1:2" x14ac:dyDescent="0.3">
      <c r="A170" s="13">
        <v>45842</v>
      </c>
      <c r="B170" s="5">
        <v>293475</v>
      </c>
    </row>
    <row r="171" spans="1:2" x14ac:dyDescent="0.3">
      <c r="A171" s="13">
        <v>45847</v>
      </c>
      <c r="B171" s="5">
        <v>62488</v>
      </c>
    </row>
    <row r="172" spans="1:2" x14ac:dyDescent="0.3">
      <c r="A172" s="13">
        <v>45848</v>
      </c>
      <c r="B172" s="5">
        <v>153790</v>
      </c>
    </row>
    <row r="173" spans="1:2" x14ac:dyDescent="0.3">
      <c r="A173" s="13">
        <v>45850</v>
      </c>
      <c r="B173" s="5">
        <v>316240</v>
      </c>
    </row>
    <row r="174" spans="1:2" x14ac:dyDescent="0.3">
      <c r="A174" s="13">
        <v>45851</v>
      </c>
      <c r="B174" s="5">
        <v>1051174</v>
      </c>
    </row>
    <row r="175" spans="1:2" x14ac:dyDescent="0.3">
      <c r="A175" s="13">
        <v>45852</v>
      </c>
      <c r="B175" s="5">
        <v>241338</v>
      </c>
    </row>
    <row r="176" spans="1:2" x14ac:dyDescent="0.3">
      <c r="A176" s="13">
        <v>45854</v>
      </c>
      <c r="B176" s="5">
        <v>237886</v>
      </c>
    </row>
    <row r="177" spans="1:2" x14ac:dyDescent="0.3">
      <c r="A177" s="13">
        <v>45855</v>
      </c>
      <c r="B177" s="5">
        <v>367157</v>
      </c>
    </row>
    <row r="178" spans="1:2" x14ac:dyDescent="0.3">
      <c r="A178" s="13">
        <v>45857</v>
      </c>
      <c r="B178" s="5">
        <v>186046</v>
      </c>
    </row>
    <row r="179" spans="1:2" x14ac:dyDescent="0.3">
      <c r="A179" s="13">
        <v>45861</v>
      </c>
      <c r="B179" s="5">
        <v>796134</v>
      </c>
    </row>
    <row r="180" spans="1:2" x14ac:dyDescent="0.3">
      <c r="A180" s="13">
        <v>45863</v>
      </c>
      <c r="B180" s="5">
        <v>393000</v>
      </c>
    </row>
    <row r="181" spans="1:2" x14ac:dyDescent="0.3">
      <c r="A181" s="13">
        <v>45864</v>
      </c>
      <c r="B181" s="5">
        <v>126984</v>
      </c>
    </row>
    <row r="182" spans="1:2" x14ac:dyDescent="0.3">
      <c r="A182" s="13">
        <v>45865</v>
      </c>
      <c r="B182" s="5">
        <v>884250</v>
      </c>
    </row>
    <row r="183" spans="1:2" x14ac:dyDescent="0.3">
      <c r="A183" s="13">
        <v>45867</v>
      </c>
      <c r="B183" s="5">
        <v>137482</v>
      </c>
    </row>
    <row r="184" spans="1:2" x14ac:dyDescent="0.3">
      <c r="A184" s="13">
        <v>45868</v>
      </c>
      <c r="B184" s="5">
        <v>308250</v>
      </c>
    </row>
    <row r="185" spans="1:2" x14ac:dyDescent="0.3">
      <c r="A185" s="13">
        <v>45869</v>
      </c>
      <c r="B185" s="5">
        <v>174344</v>
      </c>
    </row>
    <row r="186" spans="1:2" x14ac:dyDescent="0.3">
      <c r="A186" s="13">
        <v>45871</v>
      </c>
      <c r="B186" s="5">
        <v>893976</v>
      </c>
    </row>
    <row r="187" spans="1:2" x14ac:dyDescent="0.3">
      <c r="A187" s="13">
        <v>45872</v>
      </c>
      <c r="B187" s="5">
        <v>501038</v>
      </c>
    </row>
    <row r="188" spans="1:2" x14ac:dyDescent="0.3">
      <c r="A188" s="13">
        <v>45873</v>
      </c>
      <c r="B188" s="5">
        <v>164985</v>
      </c>
    </row>
    <row r="189" spans="1:2" x14ac:dyDescent="0.3">
      <c r="A189" s="13">
        <v>45874</v>
      </c>
      <c r="B189" s="5">
        <v>176760</v>
      </c>
    </row>
    <row r="190" spans="1:2" x14ac:dyDescent="0.3">
      <c r="A190" s="13">
        <v>45876</v>
      </c>
      <c r="B190" s="5">
        <v>291500</v>
      </c>
    </row>
    <row r="191" spans="1:2" x14ac:dyDescent="0.3">
      <c r="A191" s="13">
        <v>45879</v>
      </c>
      <c r="B191" s="5">
        <v>403194</v>
      </c>
    </row>
    <row r="192" spans="1:2" x14ac:dyDescent="0.3">
      <c r="A192" s="13">
        <v>45880</v>
      </c>
      <c r="B192" s="5">
        <v>30951</v>
      </c>
    </row>
    <row r="193" spans="1:2" x14ac:dyDescent="0.3">
      <c r="A193" s="13">
        <v>45881</v>
      </c>
      <c r="B193" s="5">
        <v>462536</v>
      </c>
    </row>
    <row r="194" spans="1:2" x14ac:dyDescent="0.3">
      <c r="A194" s="13">
        <v>45882</v>
      </c>
      <c r="B194" s="5">
        <v>650385</v>
      </c>
    </row>
    <row r="195" spans="1:2" x14ac:dyDescent="0.3">
      <c r="A195" s="13">
        <v>45883</v>
      </c>
      <c r="B195" s="5">
        <v>202475</v>
      </c>
    </row>
    <row r="196" spans="1:2" x14ac:dyDescent="0.3">
      <c r="A196" s="13">
        <v>45885</v>
      </c>
      <c r="B196" s="5">
        <v>354640</v>
      </c>
    </row>
    <row r="197" spans="1:2" x14ac:dyDescent="0.3">
      <c r="A197" s="13">
        <v>45886</v>
      </c>
      <c r="B197" s="5">
        <v>138873</v>
      </c>
    </row>
    <row r="198" spans="1:2" x14ac:dyDescent="0.3">
      <c r="A198" s="13">
        <v>45888</v>
      </c>
      <c r="B198" s="5">
        <v>1248164</v>
      </c>
    </row>
    <row r="199" spans="1:2" x14ac:dyDescent="0.3">
      <c r="A199" s="13">
        <v>45890</v>
      </c>
      <c r="B199" s="5">
        <v>152317</v>
      </c>
    </row>
    <row r="200" spans="1:2" x14ac:dyDescent="0.3">
      <c r="A200" s="13">
        <v>45891</v>
      </c>
      <c r="B200" s="5">
        <v>166800</v>
      </c>
    </row>
    <row r="201" spans="1:2" x14ac:dyDescent="0.3">
      <c r="A201" s="13">
        <v>45892</v>
      </c>
      <c r="B201" s="5">
        <v>73343</v>
      </c>
    </row>
    <row r="202" spans="1:2" x14ac:dyDescent="0.3">
      <c r="A202" s="13">
        <v>45893</v>
      </c>
      <c r="B202" s="5">
        <v>211848</v>
      </c>
    </row>
    <row r="203" spans="1:2" x14ac:dyDescent="0.3">
      <c r="A203" s="13">
        <v>45894</v>
      </c>
      <c r="B203" s="5">
        <v>293384</v>
      </c>
    </row>
    <row r="204" spans="1:2" x14ac:dyDescent="0.3">
      <c r="A204" s="13">
        <v>45895</v>
      </c>
      <c r="B204" s="5">
        <v>272706</v>
      </c>
    </row>
    <row r="205" spans="1:2" x14ac:dyDescent="0.3">
      <c r="A205" s="13">
        <v>45896</v>
      </c>
      <c r="B205" s="5">
        <v>432141</v>
      </c>
    </row>
    <row r="206" spans="1:2" x14ac:dyDescent="0.3">
      <c r="A206" s="13">
        <v>45897</v>
      </c>
      <c r="B206" s="5">
        <v>432256</v>
      </c>
    </row>
    <row r="207" spans="1:2" x14ac:dyDescent="0.3">
      <c r="A207" s="13">
        <v>45900</v>
      </c>
      <c r="B207" s="5">
        <v>414368</v>
      </c>
    </row>
    <row r="208" spans="1:2" x14ac:dyDescent="0.3">
      <c r="A208" s="13">
        <v>45901</v>
      </c>
      <c r="B208" s="5">
        <v>350581</v>
      </c>
    </row>
    <row r="209" spans="1:2" x14ac:dyDescent="0.3">
      <c r="A209" s="13">
        <v>45903</v>
      </c>
      <c r="B209" s="5">
        <v>43776</v>
      </c>
    </row>
    <row r="210" spans="1:2" x14ac:dyDescent="0.3">
      <c r="A210" s="13">
        <v>45904</v>
      </c>
      <c r="B210" s="5">
        <v>129532</v>
      </c>
    </row>
    <row r="211" spans="1:2" x14ac:dyDescent="0.3">
      <c r="A211" s="13">
        <v>45905</v>
      </c>
      <c r="B211" s="5">
        <v>876144</v>
      </c>
    </row>
    <row r="212" spans="1:2" x14ac:dyDescent="0.3">
      <c r="A212" s="13">
        <v>45908</v>
      </c>
      <c r="B212" s="5">
        <v>104058</v>
      </c>
    </row>
    <row r="213" spans="1:2" x14ac:dyDescent="0.3">
      <c r="A213" s="13">
        <v>45909</v>
      </c>
      <c r="B213" s="5">
        <v>361104</v>
      </c>
    </row>
    <row r="214" spans="1:2" x14ac:dyDescent="0.3">
      <c r="A214" s="13">
        <v>45914</v>
      </c>
      <c r="B214" s="5">
        <v>111641</v>
      </c>
    </row>
    <row r="215" spans="1:2" x14ac:dyDescent="0.3">
      <c r="A215" s="13">
        <v>45916</v>
      </c>
      <c r="B215" s="5">
        <v>158296</v>
      </c>
    </row>
    <row r="216" spans="1:2" x14ac:dyDescent="0.3">
      <c r="A216" s="13">
        <v>45917</v>
      </c>
      <c r="B216" s="5">
        <v>332111</v>
      </c>
    </row>
    <row r="217" spans="1:2" x14ac:dyDescent="0.3">
      <c r="A217" s="13">
        <v>45923</v>
      </c>
      <c r="B217" s="5">
        <v>306360</v>
      </c>
    </row>
    <row r="218" spans="1:2" x14ac:dyDescent="0.3">
      <c r="A218" s="13">
        <v>45924</v>
      </c>
      <c r="B218" s="5">
        <v>483336</v>
      </c>
    </row>
    <row r="219" spans="1:2" x14ac:dyDescent="0.3">
      <c r="A219" s="13">
        <v>45925</v>
      </c>
      <c r="B219" s="5">
        <v>997292</v>
      </c>
    </row>
    <row r="220" spans="1:2" x14ac:dyDescent="0.3">
      <c r="A220" s="13">
        <v>45926</v>
      </c>
      <c r="B220" s="5">
        <v>307720</v>
      </c>
    </row>
    <row r="221" spans="1:2" x14ac:dyDescent="0.3">
      <c r="A221" s="13">
        <v>45927</v>
      </c>
      <c r="B221" s="5">
        <v>546424</v>
      </c>
    </row>
    <row r="222" spans="1:2" x14ac:dyDescent="0.3">
      <c r="A222" s="13">
        <v>45930</v>
      </c>
      <c r="B222" s="5">
        <v>146800</v>
      </c>
    </row>
    <row r="223" spans="1:2" x14ac:dyDescent="0.3">
      <c r="A223" s="13">
        <v>45931</v>
      </c>
      <c r="B223" s="5">
        <v>453120</v>
      </c>
    </row>
    <row r="224" spans="1:2" x14ac:dyDescent="0.3">
      <c r="A224" s="13">
        <v>45932</v>
      </c>
      <c r="B224" s="5">
        <v>305832</v>
      </c>
    </row>
    <row r="225" spans="1:2" x14ac:dyDescent="0.3">
      <c r="A225" s="13">
        <v>45934</v>
      </c>
      <c r="B225" s="5">
        <v>329154</v>
      </c>
    </row>
    <row r="226" spans="1:2" x14ac:dyDescent="0.3">
      <c r="A226" s="13">
        <v>45936</v>
      </c>
      <c r="B226" s="5">
        <v>32868</v>
      </c>
    </row>
    <row r="227" spans="1:2" x14ac:dyDescent="0.3">
      <c r="A227" s="13">
        <v>45937</v>
      </c>
      <c r="B227" s="5">
        <v>56903</v>
      </c>
    </row>
    <row r="228" spans="1:2" x14ac:dyDescent="0.3">
      <c r="A228" s="13">
        <v>45939</v>
      </c>
      <c r="B228" s="5">
        <v>621442</v>
      </c>
    </row>
    <row r="229" spans="1:2" x14ac:dyDescent="0.3">
      <c r="A229" s="13">
        <v>45940</v>
      </c>
      <c r="B229" s="5">
        <v>402598</v>
      </c>
    </row>
    <row r="230" spans="1:2" x14ac:dyDescent="0.3">
      <c r="A230" s="13">
        <v>45941</v>
      </c>
      <c r="B230" s="5">
        <v>64224</v>
      </c>
    </row>
    <row r="231" spans="1:2" x14ac:dyDescent="0.3">
      <c r="A231" s="13">
        <v>45943</v>
      </c>
      <c r="B231" s="5">
        <v>331108</v>
      </c>
    </row>
    <row r="232" spans="1:2" x14ac:dyDescent="0.3">
      <c r="A232" s="13">
        <v>45945</v>
      </c>
      <c r="B232" s="5">
        <v>605640</v>
      </c>
    </row>
    <row r="233" spans="1:2" x14ac:dyDescent="0.3">
      <c r="A233" s="13">
        <v>45947</v>
      </c>
      <c r="B233" s="5">
        <v>183486</v>
      </c>
    </row>
    <row r="234" spans="1:2" x14ac:dyDescent="0.3">
      <c r="A234" s="13">
        <v>45948</v>
      </c>
      <c r="B234" s="5">
        <v>525536</v>
      </c>
    </row>
    <row r="235" spans="1:2" x14ac:dyDescent="0.3">
      <c r="A235" s="13">
        <v>45950</v>
      </c>
      <c r="B235" s="5">
        <v>642378</v>
      </c>
    </row>
    <row r="236" spans="1:2" x14ac:dyDescent="0.3">
      <c r="A236" s="13">
        <v>45951</v>
      </c>
      <c r="B236" s="5">
        <v>741785</v>
      </c>
    </row>
    <row r="237" spans="1:2" x14ac:dyDescent="0.3">
      <c r="A237" s="13">
        <v>45952</v>
      </c>
      <c r="B237" s="5">
        <v>222453</v>
      </c>
    </row>
    <row r="238" spans="1:2" x14ac:dyDescent="0.3">
      <c r="A238" s="13">
        <v>45956</v>
      </c>
      <c r="B238" s="5">
        <v>611498</v>
      </c>
    </row>
    <row r="239" spans="1:2" x14ac:dyDescent="0.3">
      <c r="A239" s="13">
        <v>45959</v>
      </c>
      <c r="B239" s="5">
        <v>240975</v>
      </c>
    </row>
    <row r="240" spans="1:2" x14ac:dyDescent="0.3">
      <c r="A240" s="13">
        <v>45960</v>
      </c>
      <c r="B240" s="5">
        <v>102273</v>
      </c>
    </row>
    <row r="241" spans="1:2" x14ac:dyDescent="0.3">
      <c r="A241" s="13">
        <v>45962</v>
      </c>
      <c r="B241" s="5">
        <v>106575</v>
      </c>
    </row>
    <row r="242" spans="1:2" x14ac:dyDescent="0.3">
      <c r="A242" s="13">
        <v>45963</v>
      </c>
      <c r="B242" s="5">
        <v>295608</v>
      </c>
    </row>
    <row r="243" spans="1:2" x14ac:dyDescent="0.3">
      <c r="A243" s="13">
        <v>45964</v>
      </c>
      <c r="B243" s="5">
        <v>666078</v>
      </c>
    </row>
    <row r="244" spans="1:2" x14ac:dyDescent="0.3">
      <c r="A244" s="13">
        <v>45966</v>
      </c>
      <c r="B244" s="5">
        <v>86034</v>
      </c>
    </row>
    <row r="245" spans="1:2" x14ac:dyDescent="0.3">
      <c r="A245" s="13">
        <v>45967</v>
      </c>
      <c r="B245" s="5">
        <v>181886</v>
      </c>
    </row>
    <row r="246" spans="1:2" x14ac:dyDescent="0.3">
      <c r="A246" s="13">
        <v>45968</v>
      </c>
      <c r="B246" s="5">
        <v>606607</v>
      </c>
    </row>
    <row r="247" spans="1:2" x14ac:dyDescent="0.3">
      <c r="A247" s="13">
        <v>45969</v>
      </c>
      <c r="B247" s="5">
        <v>380550</v>
      </c>
    </row>
    <row r="248" spans="1:2" x14ac:dyDescent="0.3">
      <c r="A248" s="13">
        <v>45971</v>
      </c>
      <c r="B248" s="5">
        <v>186200</v>
      </c>
    </row>
    <row r="249" spans="1:2" x14ac:dyDescent="0.3">
      <c r="A249" s="13">
        <v>45977</v>
      </c>
      <c r="B249" s="5">
        <v>193377</v>
      </c>
    </row>
    <row r="250" spans="1:2" x14ac:dyDescent="0.3">
      <c r="A250" s="13">
        <v>45978</v>
      </c>
      <c r="B250" s="5">
        <v>107811</v>
      </c>
    </row>
    <row r="251" spans="1:2" x14ac:dyDescent="0.3">
      <c r="A251" s="13">
        <v>45979</v>
      </c>
      <c r="B251" s="5">
        <v>351466</v>
      </c>
    </row>
    <row r="252" spans="1:2" x14ac:dyDescent="0.3">
      <c r="A252" s="13">
        <v>45980</v>
      </c>
      <c r="B252" s="5">
        <v>111080</v>
      </c>
    </row>
    <row r="253" spans="1:2" x14ac:dyDescent="0.3">
      <c r="A253" s="13">
        <v>45985</v>
      </c>
      <c r="B253" s="5">
        <v>330639</v>
      </c>
    </row>
    <row r="254" spans="1:2" x14ac:dyDescent="0.3">
      <c r="A254" s="13">
        <v>45986</v>
      </c>
      <c r="B254" s="5">
        <v>131400</v>
      </c>
    </row>
    <row r="255" spans="1:2" x14ac:dyDescent="0.3">
      <c r="A255" s="13">
        <v>45988</v>
      </c>
      <c r="B255" s="5">
        <v>112897</v>
      </c>
    </row>
    <row r="256" spans="1:2" x14ac:dyDescent="0.3">
      <c r="A256" s="13">
        <v>45990</v>
      </c>
      <c r="B256" s="5">
        <v>381334</v>
      </c>
    </row>
    <row r="257" spans="1:2" x14ac:dyDescent="0.3">
      <c r="A257" s="13">
        <v>45991</v>
      </c>
      <c r="B257" s="5">
        <v>115816</v>
      </c>
    </row>
    <row r="258" spans="1:2" x14ac:dyDescent="0.3">
      <c r="A258" s="13">
        <v>45992</v>
      </c>
      <c r="B258" s="5">
        <v>227920</v>
      </c>
    </row>
    <row r="259" spans="1:2" x14ac:dyDescent="0.3">
      <c r="A259" s="13">
        <v>45994</v>
      </c>
      <c r="B259" s="5">
        <v>175656</v>
      </c>
    </row>
    <row r="260" spans="1:2" x14ac:dyDescent="0.3">
      <c r="A260" s="13">
        <v>45997</v>
      </c>
      <c r="B260" s="5">
        <v>220324</v>
      </c>
    </row>
    <row r="261" spans="1:2" x14ac:dyDescent="0.3">
      <c r="A261" s="13">
        <v>45998</v>
      </c>
      <c r="B261" s="5">
        <v>330480</v>
      </c>
    </row>
    <row r="262" spans="1:2" x14ac:dyDescent="0.3">
      <c r="A262" s="13">
        <v>46000</v>
      </c>
      <c r="B262" s="5">
        <v>181545</v>
      </c>
    </row>
    <row r="263" spans="1:2" x14ac:dyDescent="0.3">
      <c r="A263" s="13">
        <v>46003</v>
      </c>
      <c r="B263" s="5">
        <v>101994</v>
      </c>
    </row>
    <row r="264" spans="1:2" x14ac:dyDescent="0.3">
      <c r="A264" s="13">
        <v>46004</v>
      </c>
      <c r="B264" s="5">
        <v>762390</v>
      </c>
    </row>
    <row r="265" spans="1:2" x14ac:dyDescent="0.3">
      <c r="A265" s="13">
        <v>46006</v>
      </c>
      <c r="B265" s="5">
        <v>670477</v>
      </c>
    </row>
    <row r="266" spans="1:2" x14ac:dyDescent="0.3">
      <c r="A266" s="13">
        <v>46007</v>
      </c>
      <c r="B266" s="5">
        <v>334208</v>
      </c>
    </row>
    <row r="267" spans="1:2" x14ac:dyDescent="0.3">
      <c r="A267" s="13">
        <v>46008</v>
      </c>
      <c r="B267" s="5">
        <v>87174</v>
      </c>
    </row>
    <row r="268" spans="1:2" x14ac:dyDescent="0.3">
      <c r="A268" s="13">
        <v>46009</v>
      </c>
      <c r="B268" s="5">
        <v>360815</v>
      </c>
    </row>
    <row r="269" spans="1:2" x14ac:dyDescent="0.3">
      <c r="A269" s="13">
        <v>46011</v>
      </c>
      <c r="B269" s="5">
        <v>97383</v>
      </c>
    </row>
    <row r="270" spans="1:2" x14ac:dyDescent="0.3">
      <c r="A270" s="13">
        <v>46012</v>
      </c>
      <c r="B270" s="5">
        <v>625558</v>
      </c>
    </row>
    <row r="271" spans="1:2" x14ac:dyDescent="0.3">
      <c r="A271" s="13">
        <v>46013</v>
      </c>
      <c r="B271" s="5">
        <v>530162</v>
      </c>
    </row>
    <row r="272" spans="1:2" x14ac:dyDescent="0.3">
      <c r="A272" s="13">
        <v>46019</v>
      </c>
      <c r="B272" s="5">
        <v>219298</v>
      </c>
    </row>
    <row r="273" spans="1:2" x14ac:dyDescent="0.3">
      <c r="A273" s="13">
        <v>46022</v>
      </c>
      <c r="B273" s="5">
        <v>679752</v>
      </c>
    </row>
    <row r="274" spans="1:2" x14ac:dyDescent="0.3">
      <c r="A274" s="13" t="s">
        <v>464</v>
      </c>
      <c r="B274" s="5">
        <v>74461128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FFF62-6F13-4DE6-B63B-9A99AE9E6539}">
  <dimension ref="A3:D41"/>
  <sheetViews>
    <sheetView workbookViewId="0">
      <selection activeCell="B6" sqref="B6"/>
    </sheetView>
  </sheetViews>
  <sheetFormatPr defaultRowHeight="14.4" x14ac:dyDescent="0.3"/>
  <cols>
    <col min="1" max="1" width="20.21875" bestFit="1" customWidth="1"/>
    <col min="2" max="2" width="15.5546875" bestFit="1" customWidth="1"/>
    <col min="3" max="3" width="7" bestFit="1" customWidth="1"/>
    <col min="4" max="4" width="10.77734375" bestFit="1" customWidth="1"/>
    <col min="5" max="5" width="9" bestFit="1" customWidth="1"/>
    <col min="6" max="6" width="10.77734375" bestFit="1" customWidth="1"/>
  </cols>
  <sheetData>
    <row r="3" spans="1:2" x14ac:dyDescent="0.3">
      <c r="A3" s="3" t="s">
        <v>463</v>
      </c>
      <c r="B3" t="s">
        <v>479</v>
      </c>
    </row>
    <row r="4" spans="1:2" x14ac:dyDescent="0.3">
      <c r="A4" s="4" t="s">
        <v>12</v>
      </c>
      <c r="B4" s="17">
        <v>539</v>
      </c>
    </row>
    <row r="5" spans="1:2" x14ac:dyDescent="0.3">
      <c r="A5" s="4" t="s">
        <v>17</v>
      </c>
      <c r="B5" s="17">
        <v>754</v>
      </c>
    </row>
    <row r="6" spans="1:2" x14ac:dyDescent="0.3">
      <c r="A6" s="4" t="s">
        <v>31</v>
      </c>
      <c r="B6" s="17">
        <v>650</v>
      </c>
    </row>
    <row r="7" spans="1:2" x14ac:dyDescent="0.3">
      <c r="A7" s="4" t="s">
        <v>24</v>
      </c>
      <c r="B7" s="17">
        <v>413</v>
      </c>
    </row>
    <row r="8" spans="1:2" x14ac:dyDescent="0.3">
      <c r="A8" s="4" t="s">
        <v>464</v>
      </c>
      <c r="B8" s="17">
        <v>2356</v>
      </c>
    </row>
    <row r="11" spans="1:2" x14ac:dyDescent="0.3">
      <c r="A11" s="3" t="s">
        <v>463</v>
      </c>
      <c r="B11" t="s">
        <v>479</v>
      </c>
    </row>
    <row r="12" spans="1:2" x14ac:dyDescent="0.3">
      <c r="A12" s="4" t="s">
        <v>361</v>
      </c>
      <c r="B12" s="17">
        <v>493</v>
      </c>
    </row>
    <row r="13" spans="1:2" x14ac:dyDescent="0.3">
      <c r="A13" s="4" t="s">
        <v>367</v>
      </c>
      <c r="B13" s="17">
        <v>457</v>
      </c>
    </row>
    <row r="14" spans="1:2" x14ac:dyDescent="0.3">
      <c r="A14" s="4" t="s">
        <v>358</v>
      </c>
      <c r="B14" s="17">
        <v>536</v>
      </c>
    </row>
    <row r="15" spans="1:2" x14ac:dyDescent="0.3">
      <c r="A15" s="4" t="s">
        <v>364</v>
      </c>
      <c r="B15" s="17">
        <v>870</v>
      </c>
    </row>
    <row r="16" spans="1:2" x14ac:dyDescent="0.3">
      <c r="A16" s="4" t="s">
        <v>464</v>
      </c>
      <c r="B16" s="17">
        <v>2356</v>
      </c>
    </row>
    <row r="19" spans="1:2" x14ac:dyDescent="0.3">
      <c r="A19" s="3" t="s">
        <v>463</v>
      </c>
      <c r="B19" t="s">
        <v>480</v>
      </c>
    </row>
    <row r="20" spans="1:2" x14ac:dyDescent="0.3">
      <c r="A20" s="4" t="s">
        <v>361</v>
      </c>
      <c r="B20" s="15">
        <v>14711149</v>
      </c>
    </row>
    <row r="21" spans="1:2" x14ac:dyDescent="0.3">
      <c r="A21" s="4" t="s">
        <v>367</v>
      </c>
      <c r="B21" s="15">
        <v>11103102</v>
      </c>
    </row>
    <row r="22" spans="1:2" x14ac:dyDescent="0.3">
      <c r="A22" s="4" t="s">
        <v>358</v>
      </c>
      <c r="B22" s="15">
        <v>11556275</v>
      </c>
    </row>
    <row r="23" spans="1:2" x14ac:dyDescent="0.3">
      <c r="A23" s="4" t="s">
        <v>364</v>
      </c>
      <c r="B23" s="15">
        <v>15136239</v>
      </c>
    </row>
    <row r="24" spans="1:2" x14ac:dyDescent="0.3">
      <c r="A24" s="4" t="s">
        <v>464</v>
      </c>
      <c r="B24" s="15">
        <v>52506765</v>
      </c>
    </row>
    <row r="27" spans="1:2" x14ac:dyDescent="0.3">
      <c r="A27" s="3" t="s">
        <v>463</v>
      </c>
      <c r="B27" t="s">
        <v>480</v>
      </c>
    </row>
    <row r="28" spans="1:2" x14ac:dyDescent="0.3">
      <c r="A28" s="4" t="s">
        <v>12</v>
      </c>
      <c r="B28" s="15">
        <v>14289603</v>
      </c>
    </row>
    <row r="29" spans="1:2" x14ac:dyDescent="0.3">
      <c r="A29" s="4" t="s">
        <v>17</v>
      </c>
      <c r="B29" s="15">
        <v>12374015</v>
      </c>
    </row>
    <row r="30" spans="1:2" x14ac:dyDescent="0.3">
      <c r="A30" s="4" t="s">
        <v>31</v>
      </c>
      <c r="B30" s="15">
        <v>13586919</v>
      </c>
    </row>
    <row r="31" spans="1:2" x14ac:dyDescent="0.3">
      <c r="A31" s="4" t="s">
        <v>24</v>
      </c>
      <c r="B31" s="15">
        <v>12256228</v>
      </c>
    </row>
    <row r="32" spans="1:2" x14ac:dyDescent="0.3">
      <c r="A32" s="4" t="s">
        <v>464</v>
      </c>
      <c r="B32" s="15">
        <v>52506765</v>
      </c>
    </row>
    <row r="35" spans="1:4" x14ac:dyDescent="0.3">
      <c r="A35" s="3" t="s">
        <v>480</v>
      </c>
      <c r="B35" s="3" t="s">
        <v>477</v>
      </c>
    </row>
    <row r="36" spans="1:4" x14ac:dyDescent="0.3">
      <c r="A36" s="3" t="s">
        <v>463</v>
      </c>
      <c r="B36" t="s">
        <v>359</v>
      </c>
      <c r="C36" t="s">
        <v>362</v>
      </c>
      <c r="D36" t="s">
        <v>464</v>
      </c>
    </row>
    <row r="37" spans="1:4" x14ac:dyDescent="0.3">
      <c r="A37" s="4" t="s">
        <v>12</v>
      </c>
      <c r="B37" s="14">
        <v>0.113496041890983</v>
      </c>
      <c r="C37" s="14">
        <v>0.15865180420084918</v>
      </c>
      <c r="D37" s="14">
        <v>0.27214784609183218</v>
      </c>
    </row>
    <row r="38" spans="1:4" x14ac:dyDescent="0.3">
      <c r="A38" s="4" t="s">
        <v>17</v>
      </c>
      <c r="B38" s="14">
        <v>0.12255260822105495</v>
      </c>
      <c r="C38" s="14">
        <v>0.11311254844970929</v>
      </c>
      <c r="D38" s="14">
        <v>0.23566515667076424</v>
      </c>
    </row>
    <row r="39" spans="1:4" x14ac:dyDescent="0.3">
      <c r="A39" s="4" t="s">
        <v>31</v>
      </c>
      <c r="B39" s="14">
        <v>0.1004992404312092</v>
      </c>
      <c r="C39" s="14">
        <v>0.15826587297846287</v>
      </c>
      <c r="D39" s="14">
        <v>0.25876511340967207</v>
      </c>
    </row>
    <row r="40" spans="1:4" x14ac:dyDescent="0.3">
      <c r="A40" s="4" t="s">
        <v>24</v>
      </c>
      <c r="B40" s="14">
        <v>0.10130031815900294</v>
      </c>
      <c r="C40" s="14">
        <v>0.1321215656687286</v>
      </c>
      <c r="D40" s="14">
        <v>0.23342188382773152</v>
      </c>
    </row>
    <row r="41" spans="1:4" x14ac:dyDescent="0.3">
      <c r="A41" s="4" t="s">
        <v>464</v>
      </c>
      <c r="B41" s="14">
        <v>0.43784820870225011</v>
      </c>
      <c r="C41" s="14">
        <v>0.56215179129774995</v>
      </c>
      <c r="D41" s="14">
        <v>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5F8D-453D-46C6-8179-37FEAB245353}">
  <dimension ref="A3:G21"/>
  <sheetViews>
    <sheetView workbookViewId="0">
      <selection activeCell="I25" sqref="I25"/>
    </sheetView>
  </sheetViews>
  <sheetFormatPr defaultRowHeight="14.4" x14ac:dyDescent="0.3"/>
  <cols>
    <col min="1" max="1" width="23.109375" bestFit="1" customWidth="1"/>
    <col min="2" max="2" width="15.5546875" bestFit="1" customWidth="1"/>
    <col min="3" max="3" width="12.109375" bestFit="1" customWidth="1"/>
    <col min="4" max="4" width="10.77734375" bestFit="1" customWidth="1"/>
    <col min="5" max="5" width="21.77734375" bestFit="1" customWidth="1"/>
    <col min="6" max="6" width="12.109375" bestFit="1" customWidth="1"/>
    <col min="7" max="7" width="22.33203125" bestFit="1" customWidth="1"/>
    <col min="8" max="8" width="15.88671875" bestFit="1" customWidth="1"/>
    <col min="9" max="9" width="12.109375" bestFit="1" customWidth="1"/>
    <col min="10" max="10" width="18.6640625" bestFit="1" customWidth="1"/>
    <col min="11" max="11" width="15.6640625" bestFit="1" customWidth="1"/>
    <col min="12" max="12" width="12.109375" bestFit="1" customWidth="1"/>
    <col min="13" max="13" width="18.44140625" bestFit="1" customWidth="1"/>
    <col min="14" max="14" width="10.77734375" bestFit="1" customWidth="1"/>
  </cols>
  <sheetData>
    <row r="3" spans="1:7" x14ac:dyDescent="0.3">
      <c r="A3" t="s">
        <v>474</v>
      </c>
      <c r="B3" t="s">
        <v>475</v>
      </c>
      <c r="C3" t="s">
        <v>476</v>
      </c>
    </row>
    <row r="4" spans="1:7" x14ac:dyDescent="0.3">
      <c r="A4" s="15">
        <v>14498870</v>
      </c>
      <c r="B4" s="16">
        <v>125.10999999999999</v>
      </c>
      <c r="C4" s="17">
        <v>48</v>
      </c>
    </row>
    <row r="7" spans="1:7" x14ac:dyDescent="0.3">
      <c r="A7" s="3" t="s">
        <v>478</v>
      </c>
      <c r="B7" s="3" t="s">
        <v>477</v>
      </c>
    </row>
    <row r="8" spans="1:7" x14ac:dyDescent="0.3">
      <c r="A8" s="3" t="s">
        <v>463</v>
      </c>
      <c r="B8" t="s">
        <v>340</v>
      </c>
      <c r="C8" t="s">
        <v>339</v>
      </c>
      <c r="D8" t="s">
        <v>464</v>
      </c>
      <c r="F8" s="11"/>
      <c r="G8" s="11"/>
    </row>
    <row r="9" spans="1:7" x14ac:dyDescent="0.3">
      <c r="A9" s="4" t="s">
        <v>13</v>
      </c>
      <c r="B9" s="17">
        <v>6</v>
      </c>
      <c r="C9" s="17">
        <v>6</v>
      </c>
      <c r="D9" s="17">
        <v>12</v>
      </c>
      <c r="E9" s="4"/>
    </row>
    <row r="10" spans="1:7" x14ac:dyDescent="0.3">
      <c r="A10" s="4" t="s">
        <v>28</v>
      </c>
      <c r="B10" s="17">
        <v>4</v>
      </c>
      <c r="C10" s="17">
        <v>8</v>
      </c>
      <c r="D10" s="17">
        <v>12</v>
      </c>
      <c r="E10" s="4"/>
    </row>
    <row r="11" spans="1:7" x14ac:dyDescent="0.3">
      <c r="A11" s="4" t="s">
        <v>40</v>
      </c>
      <c r="B11" s="17">
        <v>5</v>
      </c>
      <c r="C11" s="17">
        <v>7</v>
      </c>
      <c r="D11" s="17">
        <v>12</v>
      </c>
      <c r="E11" s="4"/>
    </row>
    <row r="12" spans="1:7" x14ac:dyDescent="0.3">
      <c r="A12" s="4" t="s">
        <v>25</v>
      </c>
      <c r="B12" s="17">
        <v>7</v>
      </c>
      <c r="C12" s="17">
        <v>5</v>
      </c>
      <c r="D12" s="17">
        <v>12</v>
      </c>
      <c r="E12" s="4"/>
    </row>
    <row r="13" spans="1:7" x14ac:dyDescent="0.3">
      <c r="A13" s="4" t="s">
        <v>464</v>
      </c>
      <c r="B13" s="17">
        <v>22</v>
      </c>
      <c r="C13" s="17">
        <v>26</v>
      </c>
      <c r="D13" s="17">
        <v>48</v>
      </c>
    </row>
    <row r="16" spans="1:7" x14ac:dyDescent="0.3">
      <c r="A16" s="3" t="s">
        <v>463</v>
      </c>
      <c r="B16" t="s">
        <v>475</v>
      </c>
    </row>
    <row r="17" spans="1:2" x14ac:dyDescent="0.3">
      <c r="A17" s="4" t="s">
        <v>13</v>
      </c>
      <c r="B17" s="17">
        <v>28.580000000000002</v>
      </c>
    </row>
    <row r="18" spans="1:2" x14ac:dyDescent="0.3">
      <c r="A18" s="4" t="s">
        <v>28</v>
      </c>
      <c r="B18" s="17">
        <v>33.630000000000003</v>
      </c>
    </row>
    <row r="19" spans="1:2" x14ac:dyDescent="0.3">
      <c r="A19" s="4" t="s">
        <v>40</v>
      </c>
      <c r="B19" s="17">
        <v>29.1</v>
      </c>
    </row>
    <row r="20" spans="1:2" x14ac:dyDescent="0.3">
      <c r="A20" s="4" t="s">
        <v>25</v>
      </c>
      <c r="B20" s="17">
        <v>33.799999999999997</v>
      </c>
    </row>
    <row r="21" spans="1:2" x14ac:dyDescent="0.3">
      <c r="A21" s="4" t="s">
        <v>464</v>
      </c>
      <c r="B21" s="17">
        <v>125.11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opLeftCell="A171" workbookViewId="0">
      <selection activeCell="J2" sqref="J2:J301"/>
    </sheetView>
  </sheetViews>
  <sheetFormatPr defaultRowHeight="14.4" x14ac:dyDescent="0.3"/>
  <cols>
    <col min="1" max="1" width="13" customWidth="1"/>
    <col min="2" max="2" width="18.6640625" customWidth="1"/>
    <col min="3" max="3" width="11" customWidth="1"/>
    <col min="4" max="4" width="29" customWidth="1"/>
    <col min="5" max="5" width="24" customWidth="1"/>
    <col min="6" max="6" width="21" customWidth="1"/>
    <col min="7" max="7" width="13" customWidth="1"/>
    <col min="8" max="8" width="15" customWidth="1"/>
    <col min="9" max="9" width="17" customWidth="1"/>
    <col min="10" max="11" width="14" customWidth="1"/>
    <col min="12" max="12" width="12.77734375" bestFit="1" customWidth="1"/>
    <col min="13" max="13" width="13.5546875" bestFit="1" customWidth="1"/>
  </cols>
  <sheetData>
    <row r="1" spans="1:13" x14ac:dyDescent="0.3">
      <c r="A1" s="1" t="s">
        <v>0</v>
      </c>
      <c r="B1" s="9" t="s">
        <v>1</v>
      </c>
      <c r="C1" s="1" t="s">
        <v>2</v>
      </c>
      <c r="D1" s="1" t="s">
        <v>3</v>
      </c>
      <c r="E1" s="1" t="s">
        <v>4</v>
      </c>
      <c r="F1" s="1" t="s">
        <v>5</v>
      </c>
      <c r="G1" s="1" t="s">
        <v>6</v>
      </c>
      <c r="H1" s="1" t="s">
        <v>7</v>
      </c>
      <c r="I1" s="1" t="s">
        <v>8</v>
      </c>
      <c r="J1" s="1" t="s">
        <v>9</v>
      </c>
      <c r="K1" s="1" t="s">
        <v>10</v>
      </c>
      <c r="L1" s="10"/>
    </row>
    <row r="2" spans="1:13" x14ac:dyDescent="0.3">
      <c r="A2" t="s">
        <v>11</v>
      </c>
      <c r="B2" s="8">
        <v>45964</v>
      </c>
      <c r="C2" t="s">
        <v>12</v>
      </c>
      <c r="D2" t="s">
        <v>13</v>
      </c>
      <c r="E2" t="s">
        <v>14</v>
      </c>
      <c r="F2" t="s">
        <v>15</v>
      </c>
      <c r="G2">
        <v>419</v>
      </c>
      <c r="H2" s="5">
        <v>1102</v>
      </c>
      <c r="I2" s="5">
        <v>461738</v>
      </c>
      <c r="J2" s="6">
        <v>370188.41</v>
      </c>
      <c r="K2" s="6">
        <v>91549.59</v>
      </c>
      <c r="L2" s="5"/>
      <c r="M2" s="7"/>
    </row>
    <row r="3" spans="1:13" x14ac:dyDescent="0.3">
      <c r="A3" t="s">
        <v>16</v>
      </c>
      <c r="B3" s="8">
        <v>45733</v>
      </c>
      <c r="C3" t="s">
        <v>17</v>
      </c>
      <c r="D3" t="s">
        <v>13</v>
      </c>
      <c r="E3" t="s">
        <v>18</v>
      </c>
      <c r="F3" t="s">
        <v>15</v>
      </c>
      <c r="G3">
        <v>112</v>
      </c>
      <c r="H3" s="5">
        <v>1489</v>
      </c>
      <c r="I3" s="5">
        <v>166768</v>
      </c>
      <c r="J3" s="6">
        <v>122267.32</v>
      </c>
      <c r="K3" s="6">
        <v>44500.68</v>
      </c>
      <c r="L3" s="5"/>
      <c r="M3" s="7"/>
    </row>
    <row r="4" spans="1:13" x14ac:dyDescent="0.3">
      <c r="A4" t="s">
        <v>19</v>
      </c>
      <c r="B4" s="8">
        <v>45713</v>
      </c>
      <c r="C4" t="s">
        <v>17</v>
      </c>
      <c r="D4" t="s">
        <v>13</v>
      </c>
      <c r="E4" t="s">
        <v>20</v>
      </c>
      <c r="F4" t="s">
        <v>15</v>
      </c>
      <c r="G4">
        <v>225</v>
      </c>
      <c r="H4" s="5">
        <v>1219</v>
      </c>
      <c r="I4" s="5">
        <v>274275</v>
      </c>
      <c r="J4" s="6">
        <v>228808.68</v>
      </c>
      <c r="K4" s="6">
        <v>45466.32</v>
      </c>
      <c r="L4" s="5"/>
    </row>
    <row r="5" spans="1:13" x14ac:dyDescent="0.3">
      <c r="A5" t="s">
        <v>21</v>
      </c>
      <c r="B5" s="8">
        <v>45950</v>
      </c>
      <c r="C5" t="s">
        <v>12</v>
      </c>
      <c r="D5" t="s">
        <v>13</v>
      </c>
      <c r="E5" t="s">
        <v>20</v>
      </c>
      <c r="F5" t="s">
        <v>22</v>
      </c>
      <c r="G5">
        <v>440</v>
      </c>
      <c r="H5" s="5">
        <v>831</v>
      </c>
      <c r="I5" s="5">
        <v>365640</v>
      </c>
      <c r="J5" s="6">
        <v>279000.93</v>
      </c>
      <c r="K5" s="6">
        <v>86639.07</v>
      </c>
      <c r="L5" s="5"/>
    </row>
    <row r="6" spans="1:13" x14ac:dyDescent="0.3">
      <c r="A6" t="s">
        <v>23</v>
      </c>
      <c r="B6" s="8">
        <v>45720</v>
      </c>
      <c r="C6" t="s">
        <v>24</v>
      </c>
      <c r="D6" t="s">
        <v>25</v>
      </c>
      <c r="E6" t="s">
        <v>26</v>
      </c>
      <c r="F6" t="s">
        <v>15</v>
      </c>
      <c r="G6">
        <v>184</v>
      </c>
      <c r="H6" s="5">
        <v>1438</v>
      </c>
      <c r="I6" s="5">
        <v>264592</v>
      </c>
      <c r="J6" s="6">
        <v>218278.48</v>
      </c>
      <c r="K6" s="6">
        <v>46313.52</v>
      </c>
      <c r="L6" s="5"/>
    </row>
    <row r="7" spans="1:13" x14ac:dyDescent="0.3">
      <c r="A7" t="s">
        <v>27</v>
      </c>
      <c r="B7" s="8">
        <v>45671</v>
      </c>
      <c r="C7" t="s">
        <v>17</v>
      </c>
      <c r="D7" t="s">
        <v>28</v>
      </c>
      <c r="E7" t="s">
        <v>29</v>
      </c>
      <c r="F7" t="s">
        <v>15</v>
      </c>
      <c r="G7">
        <v>364</v>
      </c>
      <c r="H7" s="5">
        <v>1061</v>
      </c>
      <c r="I7" s="5">
        <v>386204</v>
      </c>
      <c r="J7" s="6">
        <v>267737.2</v>
      </c>
      <c r="K7" s="6">
        <v>118466.8</v>
      </c>
      <c r="L7" s="5"/>
      <c r="M7" s="7"/>
    </row>
    <row r="8" spans="1:13" x14ac:dyDescent="0.3">
      <c r="A8" t="s">
        <v>30</v>
      </c>
      <c r="B8" s="8">
        <v>45714</v>
      </c>
      <c r="C8" t="s">
        <v>31</v>
      </c>
      <c r="D8" t="s">
        <v>13</v>
      </c>
      <c r="E8" t="s">
        <v>18</v>
      </c>
      <c r="F8" t="s">
        <v>32</v>
      </c>
      <c r="G8">
        <v>360</v>
      </c>
      <c r="H8" s="5">
        <v>452</v>
      </c>
      <c r="I8" s="5">
        <v>162720</v>
      </c>
      <c r="J8" s="6">
        <v>115199.2</v>
      </c>
      <c r="K8" s="6">
        <v>47520.800000000003</v>
      </c>
      <c r="L8" s="5"/>
    </row>
    <row r="9" spans="1:13" x14ac:dyDescent="0.3">
      <c r="A9" t="s">
        <v>33</v>
      </c>
      <c r="B9" s="8">
        <v>45930</v>
      </c>
      <c r="C9" t="s">
        <v>31</v>
      </c>
      <c r="D9" t="s">
        <v>13</v>
      </c>
      <c r="E9" t="s">
        <v>18</v>
      </c>
      <c r="F9" t="s">
        <v>32</v>
      </c>
      <c r="G9">
        <v>100</v>
      </c>
      <c r="H9" s="5">
        <v>1468</v>
      </c>
      <c r="I9" s="5">
        <v>146800</v>
      </c>
      <c r="J9" s="6">
        <v>113480.4</v>
      </c>
      <c r="K9" s="6">
        <v>33319.599999999999</v>
      </c>
      <c r="L9" s="5"/>
    </row>
    <row r="10" spans="1:13" x14ac:dyDescent="0.3">
      <c r="A10" t="s">
        <v>34</v>
      </c>
      <c r="B10" s="8">
        <v>46003</v>
      </c>
      <c r="C10" t="s">
        <v>24</v>
      </c>
      <c r="D10" t="s">
        <v>13</v>
      </c>
      <c r="E10" t="s">
        <v>18</v>
      </c>
      <c r="F10" t="s">
        <v>22</v>
      </c>
      <c r="G10">
        <v>89</v>
      </c>
      <c r="H10" s="5">
        <v>1146</v>
      </c>
      <c r="I10" s="5">
        <v>101994</v>
      </c>
      <c r="J10" s="6">
        <v>68210.259999999995</v>
      </c>
      <c r="K10" s="6">
        <v>33783.74</v>
      </c>
      <c r="L10" s="5"/>
    </row>
    <row r="11" spans="1:13" x14ac:dyDescent="0.3">
      <c r="A11" t="s">
        <v>35</v>
      </c>
      <c r="B11" s="8">
        <v>45678</v>
      </c>
      <c r="C11" t="s">
        <v>31</v>
      </c>
      <c r="D11" t="s">
        <v>13</v>
      </c>
      <c r="E11" t="s">
        <v>18</v>
      </c>
      <c r="F11" t="s">
        <v>32</v>
      </c>
      <c r="G11">
        <v>416</v>
      </c>
      <c r="H11" s="5">
        <v>1105</v>
      </c>
      <c r="I11" s="5">
        <v>459680</v>
      </c>
      <c r="J11" s="6">
        <v>411093.68</v>
      </c>
      <c r="K11" s="6">
        <v>48586.32</v>
      </c>
      <c r="L11" s="5"/>
    </row>
    <row r="12" spans="1:13" x14ac:dyDescent="0.3">
      <c r="A12" t="s">
        <v>36</v>
      </c>
      <c r="B12" s="8">
        <v>45909</v>
      </c>
      <c r="C12" t="s">
        <v>17</v>
      </c>
      <c r="D12" t="s">
        <v>28</v>
      </c>
      <c r="E12" t="s">
        <v>37</v>
      </c>
      <c r="F12" t="s">
        <v>22</v>
      </c>
      <c r="G12">
        <v>302</v>
      </c>
      <c r="H12" s="5">
        <v>446</v>
      </c>
      <c r="I12" s="5">
        <v>134692</v>
      </c>
      <c r="J12" s="6">
        <v>112575.15</v>
      </c>
      <c r="K12" s="6">
        <v>22116.85</v>
      </c>
      <c r="L12" s="5"/>
    </row>
    <row r="13" spans="1:13" x14ac:dyDescent="0.3">
      <c r="A13" t="s">
        <v>38</v>
      </c>
      <c r="B13" s="8">
        <v>45725</v>
      </c>
      <c r="C13" t="s">
        <v>31</v>
      </c>
      <c r="D13" t="s">
        <v>13</v>
      </c>
      <c r="E13" t="s">
        <v>18</v>
      </c>
      <c r="F13" t="s">
        <v>22</v>
      </c>
      <c r="G13">
        <v>266</v>
      </c>
      <c r="H13" s="5">
        <v>1201</v>
      </c>
      <c r="I13" s="5">
        <v>319466</v>
      </c>
      <c r="J13" s="6">
        <v>234537.51</v>
      </c>
      <c r="K13" s="6">
        <v>84928.49</v>
      </c>
      <c r="L13" s="5"/>
    </row>
    <row r="14" spans="1:13" x14ac:dyDescent="0.3">
      <c r="A14" t="s">
        <v>39</v>
      </c>
      <c r="B14" s="8">
        <v>45865</v>
      </c>
      <c r="C14" t="s">
        <v>24</v>
      </c>
      <c r="D14" t="s">
        <v>40</v>
      </c>
      <c r="E14" t="s">
        <v>41</v>
      </c>
      <c r="F14" t="s">
        <v>15</v>
      </c>
      <c r="G14">
        <v>458</v>
      </c>
      <c r="H14" s="5">
        <v>1318</v>
      </c>
      <c r="I14" s="5">
        <v>603644</v>
      </c>
      <c r="J14" s="6">
        <v>513410.36</v>
      </c>
      <c r="K14" s="6">
        <v>90233.64</v>
      </c>
      <c r="L14" s="5"/>
    </row>
    <row r="15" spans="1:13" x14ac:dyDescent="0.3">
      <c r="A15" t="s">
        <v>42</v>
      </c>
      <c r="B15" s="8">
        <v>45733</v>
      </c>
      <c r="C15" t="s">
        <v>24</v>
      </c>
      <c r="D15" t="s">
        <v>13</v>
      </c>
      <c r="E15" t="s">
        <v>14</v>
      </c>
      <c r="F15" t="s">
        <v>32</v>
      </c>
      <c r="G15">
        <v>444</v>
      </c>
      <c r="H15" s="5">
        <v>581</v>
      </c>
      <c r="I15" s="5">
        <v>257964</v>
      </c>
      <c r="J15" s="6">
        <v>179571.38</v>
      </c>
      <c r="K15" s="6">
        <v>78392.62</v>
      </c>
      <c r="L15" s="5"/>
    </row>
    <row r="16" spans="1:13" x14ac:dyDescent="0.3">
      <c r="A16" t="s">
        <v>43</v>
      </c>
      <c r="B16" s="8">
        <v>46004</v>
      </c>
      <c r="C16" t="s">
        <v>12</v>
      </c>
      <c r="D16" t="s">
        <v>28</v>
      </c>
      <c r="E16" t="s">
        <v>37</v>
      </c>
      <c r="F16" t="s">
        <v>22</v>
      </c>
      <c r="G16">
        <v>499</v>
      </c>
      <c r="H16" s="5">
        <v>1356</v>
      </c>
      <c r="I16" s="5">
        <v>676644</v>
      </c>
      <c r="J16" s="6">
        <v>586029.71</v>
      </c>
      <c r="K16" s="6">
        <v>90614.29</v>
      </c>
      <c r="L16" s="5"/>
    </row>
    <row r="17" spans="1:12" x14ac:dyDescent="0.3">
      <c r="A17" t="s">
        <v>44</v>
      </c>
      <c r="B17" s="8">
        <v>45916</v>
      </c>
      <c r="C17" t="s">
        <v>31</v>
      </c>
      <c r="D17" t="s">
        <v>13</v>
      </c>
      <c r="E17" t="s">
        <v>18</v>
      </c>
      <c r="F17" t="s">
        <v>32</v>
      </c>
      <c r="G17">
        <v>188</v>
      </c>
      <c r="H17" s="5">
        <v>842</v>
      </c>
      <c r="I17" s="5">
        <v>158296</v>
      </c>
      <c r="J17" s="6">
        <v>124684.96</v>
      </c>
      <c r="K17" s="6">
        <v>33611.040000000001</v>
      </c>
      <c r="L17" s="5"/>
    </row>
    <row r="18" spans="1:12" x14ac:dyDescent="0.3">
      <c r="A18" t="s">
        <v>45</v>
      </c>
      <c r="B18" s="8">
        <v>45766</v>
      </c>
      <c r="C18" t="s">
        <v>12</v>
      </c>
      <c r="D18" t="s">
        <v>25</v>
      </c>
      <c r="E18" t="s">
        <v>26</v>
      </c>
      <c r="F18" t="s">
        <v>32</v>
      </c>
      <c r="G18">
        <v>214</v>
      </c>
      <c r="H18" s="5">
        <v>689</v>
      </c>
      <c r="I18" s="5">
        <v>147446</v>
      </c>
      <c r="J18" s="6">
        <v>128905.25</v>
      </c>
      <c r="K18" s="6">
        <v>18540.75</v>
      </c>
      <c r="L18" s="5"/>
    </row>
    <row r="19" spans="1:12" x14ac:dyDescent="0.3">
      <c r="A19" t="s">
        <v>46</v>
      </c>
      <c r="B19" s="8">
        <v>45945</v>
      </c>
      <c r="C19" t="s">
        <v>12</v>
      </c>
      <c r="D19" t="s">
        <v>28</v>
      </c>
      <c r="E19" t="s">
        <v>37</v>
      </c>
      <c r="F19" t="s">
        <v>22</v>
      </c>
      <c r="G19">
        <v>420</v>
      </c>
      <c r="H19" s="5">
        <v>1442</v>
      </c>
      <c r="I19" s="5">
        <v>605640</v>
      </c>
      <c r="J19" s="6">
        <v>517241.74</v>
      </c>
      <c r="K19" s="6">
        <v>88398.26</v>
      </c>
      <c r="L19" s="5"/>
    </row>
    <row r="20" spans="1:12" x14ac:dyDescent="0.3">
      <c r="A20" t="s">
        <v>47</v>
      </c>
      <c r="B20" s="8">
        <v>45794</v>
      </c>
      <c r="C20" t="s">
        <v>24</v>
      </c>
      <c r="D20" t="s">
        <v>28</v>
      </c>
      <c r="E20" t="s">
        <v>29</v>
      </c>
      <c r="F20" t="s">
        <v>32</v>
      </c>
      <c r="G20">
        <v>436</v>
      </c>
      <c r="H20" s="5">
        <v>1077</v>
      </c>
      <c r="I20" s="5">
        <v>469572</v>
      </c>
      <c r="J20" s="6">
        <v>319467.11</v>
      </c>
      <c r="K20" s="6">
        <v>150104.89000000001</v>
      </c>
      <c r="L20" s="5"/>
    </row>
    <row r="21" spans="1:12" x14ac:dyDescent="0.3">
      <c r="A21" t="s">
        <v>48</v>
      </c>
      <c r="B21" s="8">
        <v>45963</v>
      </c>
      <c r="C21" t="s">
        <v>12</v>
      </c>
      <c r="D21" t="s">
        <v>25</v>
      </c>
      <c r="E21" t="s">
        <v>26</v>
      </c>
      <c r="F21" t="s">
        <v>15</v>
      </c>
      <c r="G21">
        <v>452</v>
      </c>
      <c r="H21" s="5">
        <v>654</v>
      </c>
      <c r="I21" s="5">
        <v>295608</v>
      </c>
      <c r="J21" s="6">
        <v>196404.21</v>
      </c>
      <c r="K21" s="6">
        <v>99203.79</v>
      </c>
      <c r="L21" s="5"/>
    </row>
    <row r="22" spans="1:12" x14ac:dyDescent="0.3">
      <c r="A22" t="s">
        <v>49</v>
      </c>
      <c r="B22" s="8">
        <v>45869</v>
      </c>
      <c r="C22" t="s">
        <v>31</v>
      </c>
      <c r="D22" t="s">
        <v>25</v>
      </c>
      <c r="E22" t="s">
        <v>50</v>
      </c>
      <c r="F22" t="s">
        <v>15</v>
      </c>
      <c r="G22">
        <v>152</v>
      </c>
      <c r="H22" s="5">
        <v>1147</v>
      </c>
      <c r="I22" s="5">
        <v>174344</v>
      </c>
      <c r="J22" s="6">
        <v>125026.47</v>
      </c>
      <c r="K22" s="6">
        <v>49317.53</v>
      </c>
      <c r="L22" s="5"/>
    </row>
    <row r="23" spans="1:12" x14ac:dyDescent="0.3">
      <c r="A23" t="s">
        <v>51</v>
      </c>
      <c r="B23" s="8">
        <v>45799</v>
      </c>
      <c r="C23" t="s">
        <v>24</v>
      </c>
      <c r="D23" t="s">
        <v>28</v>
      </c>
      <c r="E23" t="s">
        <v>29</v>
      </c>
      <c r="F23" t="s">
        <v>32</v>
      </c>
      <c r="G23">
        <v>338</v>
      </c>
      <c r="H23" s="5">
        <v>483</v>
      </c>
      <c r="I23" s="5">
        <v>163254</v>
      </c>
      <c r="J23" s="6">
        <v>114039.93</v>
      </c>
      <c r="K23" s="6">
        <v>49214.07</v>
      </c>
      <c r="L23" s="5"/>
    </row>
    <row r="24" spans="1:12" x14ac:dyDescent="0.3">
      <c r="A24" t="s">
        <v>52</v>
      </c>
      <c r="B24" s="8">
        <v>45778</v>
      </c>
      <c r="C24" t="s">
        <v>17</v>
      </c>
      <c r="D24" t="s">
        <v>25</v>
      </c>
      <c r="E24" t="s">
        <v>50</v>
      </c>
      <c r="F24" t="s">
        <v>15</v>
      </c>
      <c r="G24">
        <v>228</v>
      </c>
      <c r="H24" s="5">
        <v>1260</v>
      </c>
      <c r="I24" s="5">
        <v>287280</v>
      </c>
      <c r="J24" s="6">
        <v>229353.85</v>
      </c>
      <c r="K24" s="6">
        <v>57926.15</v>
      </c>
      <c r="L24" s="5"/>
    </row>
    <row r="25" spans="1:12" x14ac:dyDescent="0.3">
      <c r="A25" t="s">
        <v>53</v>
      </c>
      <c r="B25" s="8">
        <v>45745</v>
      </c>
      <c r="C25" t="s">
        <v>24</v>
      </c>
      <c r="D25" t="s">
        <v>40</v>
      </c>
      <c r="E25" t="s">
        <v>41</v>
      </c>
      <c r="F25" t="s">
        <v>15</v>
      </c>
      <c r="G25">
        <v>395</v>
      </c>
      <c r="H25" s="5">
        <v>767</v>
      </c>
      <c r="I25" s="5">
        <v>302965</v>
      </c>
      <c r="J25" s="6">
        <v>244993.68</v>
      </c>
      <c r="K25" s="6">
        <v>57971.32</v>
      </c>
      <c r="L25" s="5"/>
    </row>
    <row r="26" spans="1:12" x14ac:dyDescent="0.3">
      <c r="A26" t="s">
        <v>54</v>
      </c>
      <c r="B26" s="8">
        <v>45779</v>
      </c>
      <c r="C26" t="s">
        <v>17</v>
      </c>
      <c r="D26" t="s">
        <v>13</v>
      </c>
      <c r="E26" t="s">
        <v>18</v>
      </c>
      <c r="F26" t="s">
        <v>15</v>
      </c>
      <c r="G26">
        <v>207</v>
      </c>
      <c r="H26" s="5">
        <v>1259</v>
      </c>
      <c r="I26" s="5">
        <v>260613</v>
      </c>
      <c r="J26" s="6">
        <v>233973.92</v>
      </c>
      <c r="K26" s="6">
        <v>26639.08</v>
      </c>
      <c r="L26" s="5"/>
    </row>
    <row r="27" spans="1:12" x14ac:dyDescent="0.3">
      <c r="A27" t="s">
        <v>55</v>
      </c>
      <c r="B27" s="8">
        <v>45717</v>
      </c>
      <c r="C27" t="s">
        <v>31</v>
      </c>
      <c r="D27" t="s">
        <v>13</v>
      </c>
      <c r="E27" t="s">
        <v>14</v>
      </c>
      <c r="F27" t="s">
        <v>32</v>
      </c>
      <c r="G27">
        <v>358</v>
      </c>
      <c r="H27" s="5">
        <v>1359</v>
      </c>
      <c r="I27" s="5">
        <v>486522</v>
      </c>
      <c r="J27" s="6">
        <v>428183.71</v>
      </c>
      <c r="K27" s="6">
        <v>58338.29</v>
      </c>
      <c r="L27" s="5"/>
    </row>
    <row r="28" spans="1:12" x14ac:dyDescent="0.3">
      <c r="A28" t="s">
        <v>56</v>
      </c>
      <c r="B28" s="8">
        <v>45830</v>
      </c>
      <c r="C28" t="s">
        <v>17</v>
      </c>
      <c r="D28" t="s">
        <v>25</v>
      </c>
      <c r="E28" t="s">
        <v>26</v>
      </c>
      <c r="F28" t="s">
        <v>22</v>
      </c>
      <c r="G28">
        <v>81</v>
      </c>
      <c r="H28" s="5">
        <v>1189</v>
      </c>
      <c r="I28" s="5">
        <v>96309</v>
      </c>
      <c r="J28" s="6">
        <v>65569.63</v>
      </c>
      <c r="K28" s="6">
        <v>30739.37</v>
      </c>
      <c r="L28" s="5"/>
    </row>
    <row r="29" spans="1:12" x14ac:dyDescent="0.3">
      <c r="A29" t="s">
        <v>57</v>
      </c>
      <c r="B29" s="8">
        <v>45734</v>
      </c>
      <c r="C29" t="s">
        <v>12</v>
      </c>
      <c r="D29" t="s">
        <v>25</v>
      </c>
      <c r="E29" t="s">
        <v>26</v>
      </c>
      <c r="F29" t="s">
        <v>22</v>
      </c>
      <c r="G29">
        <v>188</v>
      </c>
      <c r="H29" s="5">
        <v>1243</v>
      </c>
      <c r="I29" s="5">
        <v>233684</v>
      </c>
      <c r="J29" s="6">
        <v>180023.66</v>
      </c>
      <c r="K29" s="6">
        <v>53660.34</v>
      </c>
      <c r="L29" s="5"/>
    </row>
    <row r="30" spans="1:12" x14ac:dyDescent="0.3">
      <c r="A30" t="s">
        <v>58</v>
      </c>
      <c r="B30" s="8">
        <v>45810</v>
      </c>
      <c r="C30" t="s">
        <v>24</v>
      </c>
      <c r="D30" t="s">
        <v>28</v>
      </c>
      <c r="E30" t="s">
        <v>29</v>
      </c>
      <c r="F30" t="s">
        <v>22</v>
      </c>
      <c r="G30">
        <v>43</v>
      </c>
      <c r="H30" s="5">
        <v>1418</v>
      </c>
      <c r="I30" s="5">
        <v>60974</v>
      </c>
      <c r="J30" s="6">
        <v>53898.26</v>
      </c>
      <c r="K30" s="6">
        <v>7075.74</v>
      </c>
      <c r="L30" s="5"/>
    </row>
    <row r="31" spans="1:12" x14ac:dyDescent="0.3">
      <c r="A31" t="s">
        <v>59</v>
      </c>
      <c r="B31" s="8">
        <v>45763</v>
      </c>
      <c r="C31" t="s">
        <v>12</v>
      </c>
      <c r="D31" t="s">
        <v>13</v>
      </c>
      <c r="E31" t="s">
        <v>20</v>
      </c>
      <c r="F31" t="s">
        <v>15</v>
      </c>
      <c r="G31">
        <v>460</v>
      </c>
      <c r="H31" s="5">
        <v>468</v>
      </c>
      <c r="I31" s="5">
        <v>215280</v>
      </c>
      <c r="J31" s="6">
        <v>192419.18</v>
      </c>
      <c r="K31" s="6">
        <v>22860.82</v>
      </c>
      <c r="L31" s="5"/>
    </row>
    <row r="32" spans="1:12" x14ac:dyDescent="0.3">
      <c r="A32" t="s">
        <v>60</v>
      </c>
      <c r="B32" s="8">
        <v>45792</v>
      </c>
      <c r="C32" t="s">
        <v>17</v>
      </c>
      <c r="D32" t="s">
        <v>28</v>
      </c>
      <c r="E32" t="s">
        <v>29</v>
      </c>
      <c r="F32" t="s">
        <v>15</v>
      </c>
      <c r="G32">
        <v>264</v>
      </c>
      <c r="H32" s="5">
        <v>1077</v>
      </c>
      <c r="I32" s="5">
        <v>284328</v>
      </c>
      <c r="J32" s="6">
        <v>184915.34</v>
      </c>
      <c r="K32" s="6">
        <v>99412.66</v>
      </c>
      <c r="L32" s="5"/>
    </row>
    <row r="33" spans="1:12" x14ac:dyDescent="0.3">
      <c r="A33" t="s">
        <v>61</v>
      </c>
      <c r="B33" s="8">
        <v>45871</v>
      </c>
      <c r="C33" t="s">
        <v>24</v>
      </c>
      <c r="D33" t="s">
        <v>13</v>
      </c>
      <c r="E33" t="s">
        <v>18</v>
      </c>
      <c r="F33" t="s">
        <v>15</v>
      </c>
      <c r="G33">
        <v>449</v>
      </c>
      <c r="H33" s="5">
        <v>1058</v>
      </c>
      <c r="I33" s="5">
        <v>475042</v>
      </c>
      <c r="J33" s="6">
        <v>412583.91</v>
      </c>
      <c r="K33" s="6">
        <v>62458.09</v>
      </c>
      <c r="L33" s="5"/>
    </row>
    <row r="34" spans="1:12" x14ac:dyDescent="0.3">
      <c r="A34" t="s">
        <v>62</v>
      </c>
      <c r="B34" s="8">
        <v>45932</v>
      </c>
      <c r="C34" t="s">
        <v>17</v>
      </c>
      <c r="D34" t="s">
        <v>25</v>
      </c>
      <c r="E34" t="s">
        <v>50</v>
      </c>
      <c r="F34" t="s">
        <v>32</v>
      </c>
      <c r="G34">
        <v>238</v>
      </c>
      <c r="H34" s="5">
        <v>1110</v>
      </c>
      <c r="I34" s="5">
        <v>264180</v>
      </c>
      <c r="J34" s="6">
        <v>189920.54</v>
      </c>
      <c r="K34" s="6">
        <v>74259.460000000006</v>
      </c>
      <c r="L34" s="5"/>
    </row>
    <row r="35" spans="1:12" x14ac:dyDescent="0.3">
      <c r="A35" t="s">
        <v>63</v>
      </c>
      <c r="B35" s="8">
        <v>45992</v>
      </c>
      <c r="C35" t="s">
        <v>17</v>
      </c>
      <c r="D35" t="s">
        <v>28</v>
      </c>
      <c r="E35" t="s">
        <v>29</v>
      </c>
      <c r="F35" t="s">
        <v>15</v>
      </c>
      <c r="G35">
        <v>296</v>
      </c>
      <c r="H35" s="5">
        <v>770</v>
      </c>
      <c r="I35" s="5">
        <v>227920</v>
      </c>
      <c r="J35" s="6">
        <v>186757.05</v>
      </c>
      <c r="K35" s="6">
        <v>41162.949999999997</v>
      </c>
      <c r="L35" s="5"/>
    </row>
    <row r="36" spans="1:12" x14ac:dyDescent="0.3">
      <c r="A36" t="s">
        <v>64</v>
      </c>
      <c r="B36" s="8">
        <v>45766</v>
      </c>
      <c r="C36" t="s">
        <v>24</v>
      </c>
      <c r="D36" t="s">
        <v>28</v>
      </c>
      <c r="E36" t="s">
        <v>29</v>
      </c>
      <c r="F36" t="s">
        <v>22</v>
      </c>
      <c r="G36">
        <v>46</v>
      </c>
      <c r="H36" s="5">
        <v>1269</v>
      </c>
      <c r="I36" s="5">
        <v>58374</v>
      </c>
      <c r="J36" s="6">
        <v>49957.55</v>
      </c>
      <c r="K36" s="6">
        <v>8416.4500000000007</v>
      </c>
      <c r="L36" s="5"/>
    </row>
    <row r="37" spans="1:12" x14ac:dyDescent="0.3">
      <c r="A37" t="s">
        <v>65</v>
      </c>
      <c r="B37" s="8">
        <v>45694</v>
      </c>
      <c r="C37" t="s">
        <v>12</v>
      </c>
      <c r="D37" t="s">
        <v>28</v>
      </c>
      <c r="E37" t="s">
        <v>29</v>
      </c>
      <c r="F37" t="s">
        <v>22</v>
      </c>
      <c r="G37">
        <v>56</v>
      </c>
      <c r="H37" s="5">
        <v>665</v>
      </c>
      <c r="I37" s="5">
        <v>37240</v>
      </c>
      <c r="J37" s="6">
        <v>26821.29</v>
      </c>
      <c r="K37" s="6">
        <v>10418.709999999999</v>
      </c>
      <c r="L37" s="5"/>
    </row>
    <row r="38" spans="1:12" x14ac:dyDescent="0.3">
      <c r="A38" t="s">
        <v>66</v>
      </c>
      <c r="B38" s="8">
        <v>45959</v>
      </c>
      <c r="C38" t="s">
        <v>31</v>
      </c>
      <c r="D38" t="s">
        <v>13</v>
      </c>
      <c r="E38" t="s">
        <v>18</v>
      </c>
      <c r="F38" t="s">
        <v>32</v>
      </c>
      <c r="G38">
        <v>405</v>
      </c>
      <c r="H38" s="5">
        <v>595</v>
      </c>
      <c r="I38" s="5">
        <v>240975</v>
      </c>
      <c r="J38" s="6">
        <v>204241.18</v>
      </c>
      <c r="K38" s="6">
        <v>36733.82</v>
      </c>
      <c r="L38" s="5"/>
    </row>
    <row r="39" spans="1:12" x14ac:dyDescent="0.3">
      <c r="A39" t="s">
        <v>67</v>
      </c>
      <c r="B39" s="8">
        <v>45706</v>
      </c>
      <c r="C39" t="s">
        <v>17</v>
      </c>
      <c r="D39" t="s">
        <v>25</v>
      </c>
      <c r="E39" t="s">
        <v>26</v>
      </c>
      <c r="F39" t="s">
        <v>15</v>
      </c>
      <c r="G39">
        <v>328</v>
      </c>
      <c r="H39" s="5">
        <v>638</v>
      </c>
      <c r="I39" s="5">
        <v>209264</v>
      </c>
      <c r="J39" s="6">
        <v>154268.98000000001</v>
      </c>
      <c r="K39" s="6">
        <v>54995.02</v>
      </c>
      <c r="L39" s="5"/>
    </row>
    <row r="40" spans="1:12" x14ac:dyDescent="0.3">
      <c r="A40" t="s">
        <v>68</v>
      </c>
      <c r="B40" s="8">
        <v>45897</v>
      </c>
      <c r="C40" t="s">
        <v>24</v>
      </c>
      <c r="D40" t="s">
        <v>28</v>
      </c>
      <c r="E40" t="s">
        <v>29</v>
      </c>
      <c r="F40" t="s">
        <v>15</v>
      </c>
      <c r="G40">
        <v>307</v>
      </c>
      <c r="H40" s="5">
        <v>1408</v>
      </c>
      <c r="I40" s="5">
        <v>432256</v>
      </c>
      <c r="J40" s="6">
        <v>385372.45</v>
      </c>
      <c r="K40" s="6">
        <v>46883.55</v>
      </c>
      <c r="L40" s="5"/>
    </row>
    <row r="41" spans="1:12" x14ac:dyDescent="0.3">
      <c r="A41" t="s">
        <v>69</v>
      </c>
      <c r="B41" s="8">
        <v>45752</v>
      </c>
      <c r="C41" t="s">
        <v>12</v>
      </c>
      <c r="D41" t="s">
        <v>13</v>
      </c>
      <c r="E41" t="s">
        <v>18</v>
      </c>
      <c r="F41" t="s">
        <v>32</v>
      </c>
      <c r="G41">
        <v>69</v>
      </c>
      <c r="H41" s="5">
        <v>905</v>
      </c>
      <c r="I41" s="5">
        <v>62445</v>
      </c>
      <c r="J41" s="6">
        <v>55023.57</v>
      </c>
      <c r="K41" s="6">
        <v>7421.43</v>
      </c>
      <c r="L41" s="5"/>
    </row>
    <row r="42" spans="1:12" x14ac:dyDescent="0.3">
      <c r="A42" t="s">
        <v>70</v>
      </c>
      <c r="B42" s="8">
        <v>45871</v>
      </c>
      <c r="C42" t="s">
        <v>12</v>
      </c>
      <c r="D42" t="s">
        <v>13</v>
      </c>
      <c r="E42" t="s">
        <v>14</v>
      </c>
      <c r="F42" t="s">
        <v>15</v>
      </c>
      <c r="G42">
        <v>466</v>
      </c>
      <c r="H42" s="5">
        <v>899</v>
      </c>
      <c r="I42" s="5">
        <v>418934</v>
      </c>
      <c r="J42" s="6">
        <v>375266.1</v>
      </c>
      <c r="K42" s="6">
        <v>43667.9</v>
      </c>
      <c r="L42" s="5"/>
    </row>
    <row r="43" spans="1:12" x14ac:dyDescent="0.3">
      <c r="A43" t="s">
        <v>71</v>
      </c>
      <c r="B43" s="8">
        <v>45890</v>
      </c>
      <c r="C43" t="s">
        <v>17</v>
      </c>
      <c r="D43" t="s">
        <v>28</v>
      </c>
      <c r="E43" t="s">
        <v>29</v>
      </c>
      <c r="F43" t="s">
        <v>32</v>
      </c>
      <c r="G43">
        <v>227</v>
      </c>
      <c r="H43" s="5">
        <v>671</v>
      </c>
      <c r="I43" s="5">
        <v>152317</v>
      </c>
      <c r="J43" s="6">
        <v>106910.47</v>
      </c>
      <c r="K43" s="6">
        <v>45406.53</v>
      </c>
      <c r="L43" s="5"/>
    </row>
    <row r="44" spans="1:12" x14ac:dyDescent="0.3">
      <c r="A44" t="s">
        <v>72</v>
      </c>
      <c r="B44" s="8">
        <v>45726</v>
      </c>
      <c r="C44" t="s">
        <v>17</v>
      </c>
      <c r="D44" t="s">
        <v>28</v>
      </c>
      <c r="E44" t="s">
        <v>37</v>
      </c>
      <c r="F44" t="s">
        <v>32</v>
      </c>
      <c r="G44">
        <v>271</v>
      </c>
      <c r="H44" s="5">
        <v>750</v>
      </c>
      <c r="I44" s="5">
        <v>203250</v>
      </c>
      <c r="J44" s="6">
        <v>148102.39000000001</v>
      </c>
      <c r="K44" s="6">
        <v>55147.61</v>
      </c>
      <c r="L44" s="5"/>
    </row>
    <row r="45" spans="1:12" x14ac:dyDescent="0.3">
      <c r="A45" t="s">
        <v>73</v>
      </c>
      <c r="B45" s="8">
        <v>45886</v>
      </c>
      <c r="C45" t="s">
        <v>17</v>
      </c>
      <c r="D45" t="s">
        <v>28</v>
      </c>
      <c r="E45" t="s">
        <v>29</v>
      </c>
      <c r="F45" t="s">
        <v>15</v>
      </c>
      <c r="G45">
        <v>119</v>
      </c>
      <c r="H45" s="5">
        <v>1167</v>
      </c>
      <c r="I45" s="5">
        <v>138873</v>
      </c>
      <c r="J45" s="6">
        <v>119807.69</v>
      </c>
      <c r="K45" s="6">
        <v>19065.310000000001</v>
      </c>
      <c r="L45" s="5"/>
    </row>
    <row r="46" spans="1:12" x14ac:dyDescent="0.3">
      <c r="A46" t="s">
        <v>74</v>
      </c>
      <c r="B46" s="8">
        <v>46006</v>
      </c>
      <c r="C46" t="s">
        <v>17</v>
      </c>
      <c r="D46" t="s">
        <v>28</v>
      </c>
      <c r="E46" t="s">
        <v>37</v>
      </c>
      <c r="F46" t="s">
        <v>32</v>
      </c>
      <c r="G46">
        <v>423</v>
      </c>
      <c r="H46" s="5">
        <v>1359</v>
      </c>
      <c r="I46" s="5">
        <v>574857</v>
      </c>
      <c r="J46" s="6">
        <v>501254.75</v>
      </c>
      <c r="K46" s="6">
        <v>73602.25</v>
      </c>
      <c r="L46" s="5"/>
    </row>
    <row r="47" spans="1:12" x14ac:dyDescent="0.3">
      <c r="A47" t="s">
        <v>75</v>
      </c>
      <c r="B47" s="8">
        <v>46000</v>
      </c>
      <c r="C47" t="s">
        <v>24</v>
      </c>
      <c r="D47" t="s">
        <v>40</v>
      </c>
      <c r="E47" t="s">
        <v>76</v>
      </c>
      <c r="F47" t="s">
        <v>22</v>
      </c>
      <c r="G47">
        <v>133</v>
      </c>
      <c r="H47" s="5">
        <v>1365</v>
      </c>
      <c r="I47" s="5">
        <v>181545</v>
      </c>
      <c r="J47" s="6">
        <v>142998.57</v>
      </c>
      <c r="K47" s="6">
        <v>38546.43</v>
      </c>
      <c r="L47" s="5"/>
    </row>
    <row r="48" spans="1:12" x14ac:dyDescent="0.3">
      <c r="A48" t="s">
        <v>77</v>
      </c>
      <c r="B48" s="8">
        <v>46023</v>
      </c>
      <c r="C48" t="s">
        <v>17</v>
      </c>
      <c r="D48" t="s">
        <v>13</v>
      </c>
      <c r="E48" t="s">
        <v>20</v>
      </c>
      <c r="F48" t="s">
        <v>15</v>
      </c>
      <c r="G48">
        <v>441</v>
      </c>
      <c r="H48" s="5">
        <v>845</v>
      </c>
      <c r="I48" s="5">
        <v>372645</v>
      </c>
      <c r="J48" s="6">
        <v>299861.77</v>
      </c>
      <c r="K48" s="6">
        <v>72783.23</v>
      </c>
      <c r="L48" s="5"/>
    </row>
    <row r="49" spans="1:12" x14ac:dyDescent="0.3">
      <c r="A49" t="s">
        <v>78</v>
      </c>
      <c r="B49" s="8">
        <v>45888</v>
      </c>
      <c r="C49" t="s">
        <v>17</v>
      </c>
      <c r="D49" t="s">
        <v>28</v>
      </c>
      <c r="E49" t="s">
        <v>37</v>
      </c>
      <c r="F49" t="s">
        <v>32</v>
      </c>
      <c r="G49">
        <v>314</v>
      </c>
      <c r="H49" s="5">
        <v>1273</v>
      </c>
      <c r="I49" s="5">
        <v>399722</v>
      </c>
      <c r="J49" s="6">
        <v>351153.2</v>
      </c>
      <c r="K49" s="6">
        <v>48568.800000000003</v>
      </c>
      <c r="L49" s="5"/>
    </row>
    <row r="50" spans="1:12" x14ac:dyDescent="0.3">
      <c r="A50" t="s">
        <v>79</v>
      </c>
      <c r="B50" s="8">
        <v>45947</v>
      </c>
      <c r="C50" t="s">
        <v>24</v>
      </c>
      <c r="D50" t="s">
        <v>13</v>
      </c>
      <c r="E50" t="s">
        <v>18</v>
      </c>
      <c r="F50" t="s">
        <v>32</v>
      </c>
      <c r="G50">
        <v>159</v>
      </c>
      <c r="H50" s="5">
        <v>1154</v>
      </c>
      <c r="I50" s="5">
        <v>183486</v>
      </c>
      <c r="J50" s="6">
        <v>137517.26</v>
      </c>
      <c r="K50" s="6">
        <v>45968.74</v>
      </c>
      <c r="L50" s="5"/>
    </row>
    <row r="51" spans="1:12" x14ac:dyDescent="0.3">
      <c r="A51" t="s">
        <v>80</v>
      </c>
      <c r="B51" s="8">
        <v>45956</v>
      </c>
      <c r="C51" t="s">
        <v>31</v>
      </c>
      <c r="D51" t="s">
        <v>40</v>
      </c>
      <c r="E51" t="s">
        <v>41</v>
      </c>
      <c r="F51" t="s">
        <v>22</v>
      </c>
      <c r="G51">
        <v>251</v>
      </c>
      <c r="H51" s="5">
        <v>1388</v>
      </c>
      <c r="I51" s="5">
        <v>348388</v>
      </c>
      <c r="J51" s="6">
        <v>229682.2</v>
      </c>
      <c r="K51" s="6">
        <v>118705.8</v>
      </c>
      <c r="L51" s="5"/>
    </row>
    <row r="52" spans="1:12" x14ac:dyDescent="0.3">
      <c r="A52" t="s">
        <v>81</v>
      </c>
      <c r="B52" s="8">
        <v>45885</v>
      </c>
      <c r="C52" t="s">
        <v>31</v>
      </c>
      <c r="D52" t="s">
        <v>13</v>
      </c>
      <c r="E52" t="s">
        <v>14</v>
      </c>
      <c r="F52" t="s">
        <v>22</v>
      </c>
      <c r="G52">
        <v>260</v>
      </c>
      <c r="H52" s="5">
        <v>1364</v>
      </c>
      <c r="I52" s="5">
        <v>354640</v>
      </c>
      <c r="J52" s="6">
        <v>303461.96999999997</v>
      </c>
      <c r="K52" s="6">
        <v>51178.03</v>
      </c>
      <c r="L52" s="5"/>
    </row>
    <row r="53" spans="1:12" x14ac:dyDescent="0.3">
      <c r="A53" t="s">
        <v>82</v>
      </c>
      <c r="B53" s="8">
        <v>45905</v>
      </c>
      <c r="C53" t="s">
        <v>31</v>
      </c>
      <c r="D53" t="s">
        <v>13</v>
      </c>
      <c r="E53" t="s">
        <v>14</v>
      </c>
      <c r="F53" t="s">
        <v>22</v>
      </c>
      <c r="G53">
        <v>397</v>
      </c>
      <c r="H53" s="5">
        <v>1072</v>
      </c>
      <c r="I53" s="5">
        <v>425584</v>
      </c>
      <c r="J53" s="6">
        <v>372650.23</v>
      </c>
      <c r="K53" s="6">
        <v>52933.77</v>
      </c>
      <c r="L53" s="5"/>
    </row>
    <row r="54" spans="1:12" x14ac:dyDescent="0.3">
      <c r="A54" t="s">
        <v>83</v>
      </c>
      <c r="B54" s="8">
        <v>45713</v>
      </c>
      <c r="C54" t="s">
        <v>24</v>
      </c>
      <c r="D54" t="s">
        <v>25</v>
      </c>
      <c r="E54" t="s">
        <v>26</v>
      </c>
      <c r="F54" t="s">
        <v>22</v>
      </c>
      <c r="G54">
        <v>131</v>
      </c>
      <c r="H54" s="5">
        <v>1456</v>
      </c>
      <c r="I54" s="5">
        <v>190736</v>
      </c>
      <c r="J54" s="6">
        <v>158572.88</v>
      </c>
      <c r="K54" s="6">
        <v>32163.119999999999</v>
      </c>
      <c r="L54" s="5"/>
    </row>
    <row r="55" spans="1:12" x14ac:dyDescent="0.3">
      <c r="A55" t="s">
        <v>84</v>
      </c>
      <c r="B55" s="8">
        <v>45900</v>
      </c>
      <c r="C55" t="s">
        <v>31</v>
      </c>
      <c r="D55" t="s">
        <v>40</v>
      </c>
      <c r="E55" t="s">
        <v>76</v>
      </c>
      <c r="F55" t="s">
        <v>22</v>
      </c>
      <c r="G55">
        <v>492</v>
      </c>
      <c r="H55" s="5">
        <v>600</v>
      </c>
      <c r="I55" s="5">
        <v>295200</v>
      </c>
      <c r="J55" s="6">
        <v>252874.39</v>
      </c>
      <c r="K55" s="6">
        <v>42325.61</v>
      </c>
      <c r="L55" s="5"/>
    </row>
    <row r="56" spans="1:12" x14ac:dyDescent="0.3">
      <c r="A56" t="s">
        <v>85</v>
      </c>
      <c r="B56" s="8">
        <v>45833</v>
      </c>
      <c r="C56" t="s">
        <v>31</v>
      </c>
      <c r="D56" t="s">
        <v>25</v>
      </c>
      <c r="E56" t="s">
        <v>26</v>
      </c>
      <c r="F56" t="s">
        <v>22</v>
      </c>
      <c r="G56">
        <v>441</v>
      </c>
      <c r="H56" s="5">
        <v>1060</v>
      </c>
      <c r="I56" s="5">
        <v>467460</v>
      </c>
      <c r="J56" s="6">
        <v>396802.04</v>
      </c>
      <c r="K56" s="6">
        <v>70657.960000000006</v>
      </c>
      <c r="L56" s="5"/>
    </row>
    <row r="57" spans="1:12" x14ac:dyDescent="0.3">
      <c r="A57" t="s">
        <v>86</v>
      </c>
      <c r="B57" s="8">
        <v>45801</v>
      </c>
      <c r="C57" t="s">
        <v>31</v>
      </c>
      <c r="D57" t="s">
        <v>25</v>
      </c>
      <c r="E57" t="s">
        <v>50</v>
      </c>
      <c r="F57" t="s">
        <v>32</v>
      </c>
      <c r="G57">
        <v>358</v>
      </c>
      <c r="H57" s="5">
        <v>566</v>
      </c>
      <c r="I57" s="5">
        <v>202628</v>
      </c>
      <c r="J57" s="6">
        <v>145518.74</v>
      </c>
      <c r="K57" s="6">
        <v>57109.26</v>
      </c>
      <c r="L57" s="5"/>
    </row>
    <row r="58" spans="1:12" x14ac:dyDescent="0.3">
      <c r="A58" t="s">
        <v>87</v>
      </c>
      <c r="B58" s="8">
        <v>45772</v>
      </c>
      <c r="C58" t="s">
        <v>24</v>
      </c>
      <c r="D58" t="s">
        <v>25</v>
      </c>
      <c r="E58" t="s">
        <v>26</v>
      </c>
      <c r="F58" t="s">
        <v>32</v>
      </c>
      <c r="G58">
        <v>200</v>
      </c>
      <c r="H58" s="5">
        <v>1092</v>
      </c>
      <c r="I58" s="5">
        <v>218400</v>
      </c>
      <c r="J58" s="6">
        <v>163239.59</v>
      </c>
      <c r="K58" s="6">
        <v>55160.41</v>
      </c>
      <c r="L58" s="5"/>
    </row>
    <row r="59" spans="1:12" x14ac:dyDescent="0.3">
      <c r="A59" t="s">
        <v>88</v>
      </c>
      <c r="B59" s="8">
        <v>45978</v>
      </c>
      <c r="C59" t="s">
        <v>17</v>
      </c>
      <c r="D59" t="s">
        <v>28</v>
      </c>
      <c r="E59" t="s">
        <v>29</v>
      </c>
      <c r="F59" t="s">
        <v>32</v>
      </c>
      <c r="G59">
        <v>135</v>
      </c>
      <c r="H59" s="5">
        <v>471</v>
      </c>
      <c r="I59" s="5">
        <v>63585</v>
      </c>
      <c r="J59" s="6">
        <v>42779.27</v>
      </c>
      <c r="K59" s="6">
        <v>20805.73</v>
      </c>
      <c r="L59" s="5"/>
    </row>
    <row r="60" spans="1:12" x14ac:dyDescent="0.3">
      <c r="A60" t="s">
        <v>89</v>
      </c>
      <c r="B60" s="8">
        <v>45837</v>
      </c>
      <c r="C60" t="s">
        <v>12</v>
      </c>
      <c r="D60" t="s">
        <v>28</v>
      </c>
      <c r="E60" t="s">
        <v>37</v>
      </c>
      <c r="F60" t="s">
        <v>22</v>
      </c>
      <c r="G60">
        <v>213</v>
      </c>
      <c r="H60" s="5">
        <v>661</v>
      </c>
      <c r="I60" s="5">
        <v>140793</v>
      </c>
      <c r="J60" s="6">
        <v>95855.96</v>
      </c>
      <c r="K60" s="6">
        <v>44937.04</v>
      </c>
      <c r="L60" s="5"/>
    </row>
    <row r="61" spans="1:12" x14ac:dyDescent="0.3">
      <c r="A61" t="s">
        <v>90</v>
      </c>
      <c r="B61" s="8">
        <v>45800</v>
      </c>
      <c r="C61" t="s">
        <v>31</v>
      </c>
      <c r="D61" t="s">
        <v>13</v>
      </c>
      <c r="E61" t="s">
        <v>18</v>
      </c>
      <c r="F61" t="s">
        <v>15</v>
      </c>
      <c r="G61">
        <v>57</v>
      </c>
      <c r="H61" s="5">
        <v>1034</v>
      </c>
      <c r="I61" s="5">
        <v>58938</v>
      </c>
      <c r="J61" s="6">
        <v>45662.13</v>
      </c>
      <c r="K61" s="6">
        <v>13275.87</v>
      </c>
      <c r="L61" s="5"/>
    </row>
    <row r="62" spans="1:12" x14ac:dyDescent="0.3">
      <c r="A62" t="s">
        <v>91</v>
      </c>
      <c r="B62" s="8">
        <v>45758</v>
      </c>
      <c r="C62" t="s">
        <v>17</v>
      </c>
      <c r="D62" t="s">
        <v>13</v>
      </c>
      <c r="E62" t="s">
        <v>14</v>
      </c>
      <c r="F62" t="s">
        <v>22</v>
      </c>
      <c r="G62">
        <v>233</v>
      </c>
      <c r="H62" s="5">
        <v>1301</v>
      </c>
      <c r="I62" s="5">
        <v>303133</v>
      </c>
      <c r="J62" s="6">
        <v>245099.81</v>
      </c>
      <c r="K62" s="6">
        <v>58033.19</v>
      </c>
      <c r="L62" s="5"/>
    </row>
    <row r="63" spans="1:12" x14ac:dyDescent="0.3">
      <c r="A63" t="s">
        <v>92</v>
      </c>
      <c r="B63" s="8">
        <v>45980</v>
      </c>
      <c r="C63" t="s">
        <v>17</v>
      </c>
      <c r="D63" t="s">
        <v>40</v>
      </c>
      <c r="E63" t="s">
        <v>41</v>
      </c>
      <c r="F63" t="s">
        <v>32</v>
      </c>
      <c r="G63">
        <v>79</v>
      </c>
      <c r="H63" s="5">
        <v>988</v>
      </c>
      <c r="I63" s="5">
        <v>78052</v>
      </c>
      <c r="J63" s="6">
        <v>61260.87</v>
      </c>
      <c r="K63" s="6">
        <v>16791.13</v>
      </c>
      <c r="L63" s="5"/>
    </row>
    <row r="64" spans="1:12" x14ac:dyDescent="0.3">
      <c r="A64" t="s">
        <v>93</v>
      </c>
      <c r="B64" s="8">
        <v>45662</v>
      </c>
      <c r="C64" t="s">
        <v>12</v>
      </c>
      <c r="D64" t="s">
        <v>13</v>
      </c>
      <c r="E64" t="s">
        <v>20</v>
      </c>
      <c r="F64" t="s">
        <v>32</v>
      </c>
      <c r="G64">
        <v>89</v>
      </c>
      <c r="H64" s="5">
        <v>700</v>
      </c>
      <c r="I64" s="5">
        <v>62300</v>
      </c>
      <c r="J64" s="6">
        <v>41954.52</v>
      </c>
      <c r="K64" s="6">
        <v>20345.48</v>
      </c>
      <c r="L64" s="5"/>
    </row>
    <row r="65" spans="1:12" x14ac:dyDescent="0.3">
      <c r="A65" t="s">
        <v>94</v>
      </c>
      <c r="B65" s="8">
        <v>45924</v>
      </c>
      <c r="C65" t="s">
        <v>12</v>
      </c>
      <c r="D65" t="s">
        <v>40</v>
      </c>
      <c r="E65" t="s">
        <v>76</v>
      </c>
      <c r="F65" t="s">
        <v>32</v>
      </c>
      <c r="G65">
        <v>411</v>
      </c>
      <c r="H65" s="5">
        <v>1176</v>
      </c>
      <c r="I65" s="5">
        <v>483336</v>
      </c>
      <c r="J65" s="6">
        <v>350961.16</v>
      </c>
      <c r="K65" s="6">
        <v>132374.84</v>
      </c>
      <c r="L65" s="5"/>
    </row>
    <row r="66" spans="1:12" x14ac:dyDescent="0.3">
      <c r="A66" t="s">
        <v>95</v>
      </c>
      <c r="B66" s="8">
        <v>45672</v>
      </c>
      <c r="C66" t="s">
        <v>24</v>
      </c>
      <c r="D66" t="s">
        <v>40</v>
      </c>
      <c r="E66" t="s">
        <v>41</v>
      </c>
      <c r="F66" t="s">
        <v>22</v>
      </c>
      <c r="G66">
        <v>265</v>
      </c>
      <c r="H66" s="5">
        <v>775</v>
      </c>
      <c r="I66" s="5">
        <v>205375</v>
      </c>
      <c r="J66" s="6">
        <v>154342.51</v>
      </c>
      <c r="K66" s="6">
        <v>51032.49</v>
      </c>
      <c r="L66" s="5"/>
    </row>
    <row r="67" spans="1:12" x14ac:dyDescent="0.3">
      <c r="A67" t="s">
        <v>96</v>
      </c>
      <c r="B67" s="8">
        <v>45969</v>
      </c>
      <c r="C67" t="s">
        <v>17</v>
      </c>
      <c r="D67" t="s">
        <v>28</v>
      </c>
      <c r="E67" t="s">
        <v>37</v>
      </c>
      <c r="F67" t="s">
        <v>32</v>
      </c>
      <c r="G67">
        <v>373</v>
      </c>
      <c r="H67" s="5">
        <v>990</v>
      </c>
      <c r="I67" s="5">
        <v>369270</v>
      </c>
      <c r="J67" s="6">
        <v>322373.61</v>
      </c>
      <c r="K67" s="6">
        <v>46896.39</v>
      </c>
      <c r="L67" s="5"/>
    </row>
    <row r="68" spans="1:12" x14ac:dyDescent="0.3">
      <c r="A68" t="s">
        <v>97</v>
      </c>
      <c r="B68" s="8">
        <v>45751</v>
      </c>
      <c r="C68" t="s">
        <v>12</v>
      </c>
      <c r="D68" t="s">
        <v>28</v>
      </c>
      <c r="E68" t="s">
        <v>37</v>
      </c>
      <c r="F68" t="s">
        <v>32</v>
      </c>
      <c r="G68">
        <v>439</v>
      </c>
      <c r="H68" s="5">
        <v>771</v>
      </c>
      <c r="I68" s="5">
        <v>338469</v>
      </c>
      <c r="J68" s="6">
        <v>243402</v>
      </c>
      <c r="K68" s="6">
        <v>95067</v>
      </c>
      <c r="L68" s="5"/>
    </row>
    <row r="69" spans="1:12" x14ac:dyDescent="0.3">
      <c r="A69" t="s">
        <v>98</v>
      </c>
      <c r="B69" s="8">
        <v>45682</v>
      </c>
      <c r="C69" t="s">
        <v>24</v>
      </c>
      <c r="D69" t="s">
        <v>25</v>
      </c>
      <c r="E69" t="s">
        <v>50</v>
      </c>
      <c r="F69" t="s">
        <v>32</v>
      </c>
      <c r="G69">
        <v>446</v>
      </c>
      <c r="H69" s="5">
        <v>1411</v>
      </c>
      <c r="I69" s="5">
        <v>629306</v>
      </c>
      <c r="J69" s="6">
        <v>482104.43</v>
      </c>
      <c r="K69" s="6">
        <v>147201.57</v>
      </c>
      <c r="L69" s="5"/>
    </row>
    <row r="70" spans="1:12" x14ac:dyDescent="0.3">
      <c r="A70" t="s">
        <v>99</v>
      </c>
      <c r="B70" s="8">
        <v>45767</v>
      </c>
      <c r="C70" t="s">
        <v>12</v>
      </c>
      <c r="D70" t="s">
        <v>28</v>
      </c>
      <c r="E70" t="s">
        <v>29</v>
      </c>
      <c r="F70" t="s">
        <v>22</v>
      </c>
      <c r="G70">
        <v>380</v>
      </c>
      <c r="H70" s="5">
        <v>1122</v>
      </c>
      <c r="I70" s="5">
        <v>426360</v>
      </c>
      <c r="J70" s="6">
        <v>302372.84999999998</v>
      </c>
      <c r="K70" s="6">
        <v>123987.15</v>
      </c>
      <c r="L70" s="5"/>
    </row>
    <row r="71" spans="1:12" x14ac:dyDescent="0.3">
      <c r="A71" t="s">
        <v>100</v>
      </c>
      <c r="B71" s="8">
        <v>45951</v>
      </c>
      <c r="C71" t="s">
        <v>24</v>
      </c>
      <c r="D71" t="s">
        <v>13</v>
      </c>
      <c r="E71" t="s">
        <v>20</v>
      </c>
      <c r="F71" t="s">
        <v>15</v>
      </c>
      <c r="G71">
        <v>267</v>
      </c>
      <c r="H71" s="5">
        <v>1241</v>
      </c>
      <c r="I71" s="5">
        <v>331347</v>
      </c>
      <c r="J71" s="6">
        <v>291526.65999999997</v>
      </c>
      <c r="K71" s="6">
        <v>39820.339999999997</v>
      </c>
      <c r="L71" s="5"/>
    </row>
    <row r="72" spans="1:12" x14ac:dyDescent="0.3">
      <c r="A72" t="s">
        <v>101</v>
      </c>
      <c r="B72" s="8">
        <v>45852</v>
      </c>
      <c r="C72" t="s">
        <v>12</v>
      </c>
      <c r="D72" t="s">
        <v>25</v>
      </c>
      <c r="E72" t="s">
        <v>26</v>
      </c>
      <c r="F72" t="s">
        <v>22</v>
      </c>
      <c r="G72">
        <v>438</v>
      </c>
      <c r="H72" s="5">
        <v>551</v>
      </c>
      <c r="I72" s="5">
        <v>241338</v>
      </c>
      <c r="J72" s="6">
        <v>174797.67</v>
      </c>
      <c r="K72" s="6">
        <v>66540.33</v>
      </c>
      <c r="L72" s="5"/>
    </row>
    <row r="73" spans="1:12" x14ac:dyDescent="0.3">
      <c r="A73" t="s">
        <v>102</v>
      </c>
      <c r="B73" s="8">
        <v>45706</v>
      </c>
      <c r="C73" t="s">
        <v>24</v>
      </c>
      <c r="D73" t="s">
        <v>25</v>
      </c>
      <c r="E73" t="s">
        <v>26</v>
      </c>
      <c r="F73" t="s">
        <v>15</v>
      </c>
      <c r="G73">
        <v>82</v>
      </c>
      <c r="H73" s="5">
        <v>773</v>
      </c>
      <c r="I73" s="5">
        <v>63386</v>
      </c>
      <c r="J73" s="6">
        <v>53743.15</v>
      </c>
      <c r="K73" s="6">
        <v>9642.85</v>
      </c>
      <c r="L73" s="5"/>
    </row>
    <row r="74" spans="1:12" x14ac:dyDescent="0.3">
      <c r="A74" t="s">
        <v>103</v>
      </c>
      <c r="B74" s="8">
        <v>45865</v>
      </c>
      <c r="C74" t="s">
        <v>12</v>
      </c>
      <c r="D74" t="s">
        <v>28</v>
      </c>
      <c r="E74" t="s">
        <v>37</v>
      </c>
      <c r="F74" t="s">
        <v>22</v>
      </c>
      <c r="G74">
        <v>51</v>
      </c>
      <c r="H74" s="5">
        <v>1185</v>
      </c>
      <c r="I74" s="5">
        <v>60435</v>
      </c>
      <c r="J74" s="6">
        <v>47046.39</v>
      </c>
      <c r="K74" s="6">
        <v>13388.61</v>
      </c>
      <c r="L74" s="5"/>
    </row>
    <row r="75" spans="1:12" x14ac:dyDescent="0.3">
      <c r="A75" t="s">
        <v>104</v>
      </c>
      <c r="B75" s="8">
        <v>45702</v>
      </c>
      <c r="C75" t="s">
        <v>31</v>
      </c>
      <c r="D75" t="s">
        <v>25</v>
      </c>
      <c r="E75" t="s">
        <v>26</v>
      </c>
      <c r="F75" t="s">
        <v>22</v>
      </c>
      <c r="G75">
        <v>269</v>
      </c>
      <c r="H75" s="5">
        <v>1208</v>
      </c>
      <c r="I75" s="5">
        <v>324952</v>
      </c>
      <c r="J75" s="6">
        <v>260678.67</v>
      </c>
      <c r="K75" s="6">
        <v>64273.33</v>
      </c>
      <c r="L75" s="5"/>
    </row>
    <row r="76" spans="1:12" x14ac:dyDescent="0.3">
      <c r="A76" t="s">
        <v>105</v>
      </c>
      <c r="B76" s="8">
        <v>45977</v>
      </c>
      <c r="C76" t="s">
        <v>24</v>
      </c>
      <c r="D76" t="s">
        <v>25</v>
      </c>
      <c r="E76" t="s">
        <v>50</v>
      </c>
      <c r="F76" t="s">
        <v>22</v>
      </c>
      <c r="G76">
        <v>219</v>
      </c>
      <c r="H76" s="5">
        <v>883</v>
      </c>
      <c r="I76" s="5">
        <v>193377</v>
      </c>
      <c r="J76" s="6">
        <v>168273.65</v>
      </c>
      <c r="K76" s="6">
        <v>25103.35</v>
      </c>
      <c r="L76" s="5"/>
    </row>
    <row r="77" spans="1:12" x14ac:dyDescent="0.3">
      <c r="A77" t="s">
        <v>106</v>
      </c>
      <c r="B77" s="8">
        <v>46011</v>
      </c>
      <c r="C77" t="s">
        <v>24</v>
      </c>
      <c r="D77" t="s">
        <v>13</v>
      </c>
      <c r="E77" t="s">
        <v>18</v>
      </c>
      <c r="F77" t="s">
        <v>15</v>
      </c>
      <c r="G77">
        <v>227</v>
      </c>
      <c r="H77" s="5">
        <v>429</v>
      </c>
      <c r="I77" s="5">
        <v>97383</v>
      </c>
      <c r="J77" s="6">
        <v>75336.67</v>
      </c>
      <c r="K77" s="6">
        <v>22046.33</v>
      </c>
      <c r="L77" s="5"/>
    </row>
    <row r="78" spans="1:12" x14ac:dyDescent="0.3">
      <c r="A78" t="s">
        <v>107</v>
      </c>
      <c r="B78" s="8">
        <v>45684</v>
      </c>
      <c r="C78" t="s">
        <v>17</v>
      </c>
      <c r="D78" t="s">
        <v>28</v>
      </c>
      <c r="E78" t="s">
        <v>29</v>
      </c>
      <c r="F78" t="s">
        <v>15</v>
      </c>
      <c r="G78">
        <v>251</v>
      </c>
      <c r="H78" s="5">
        <v>684</v>
      </c>
      <c r="I78" s="5">
        <v>171684</v>
      </c>
      <c r="J78" s="6">
        <v>114426.91</v>
      </c>
      <c r="K78" s="6">
        <v>57257.09</v>
      </c>
      <c r="L78" s="5"/>
    </row>
    <row r="79" spans="1:12" x14ac:dyDescent="0.3">
      <c r="A79" t="s">
        <v>108</v>
      </c>
      <c r="B79" s="8">
        <v>45917</v>
      </c>
      <c r="C79" t="s">
        <v>17</v>
      </c>
      <c r="D79" t="s">
        <v>13</v>
      </c>
      <c r="E79" t="s">
        <v>14</v>
      </c>
      <c r="F79" t="s">
        <v>32</v>
      </c>
      <c r="G79">
        <v>433</v>
      </c>
      <c r="H79" s="5">
        <v>767</v>
      </c>
      <c r="I79" s="5">
        <v>332111</v>
      </c>
      <c r="J79" s="6">
        <v>260514.17</v>
      </c>
      <c r="K79" s="6">
        <v>71596.83</v>
      </c>
      <c r="L79" s="5"/>
    </row>
    <row r="80" spans="1:12" x14ac:dyDescent="0.3">
      <c r="A80" t="s">
        <v>109</v>
      </c>
      <c r="B80" s="8">
        <v>45941</v>
      </c>
      <c r="C80" t="s">
        <v>24</v>
      </c>
      <c r="D80" t="s">
        <v>40</v>
      </c>
      <c r="E80" t="s">
        <v>41</v>
      </c>
      <c r="F80" t="s">
        <v>15</v>
      </c>
      <c r="G80">
        <v>72</v>
      </c>
      <c r="H80" s="5">
        <v>892</v>
      </c>
      <c r="I80" s="5">
        <v>64224</v>
      </c>
      <c r="J80" s="6">
        <v>50700.21</v>
      </c>
      <c r="K80" s="6">
        <v>13523.79</v>
      </c>
      <c r="L80" s="5"/>
    </row>
    <row r="81" spans="1:12" x14ac:dyDescent="0.3">
      <c r="A81" t="s">
        <v>110</v>
      </c>
      <c r="B81" s="8">
        <v>45771</v>
      </c>
      <c r="C81" t="s">
        <v>17</v>
      </c>
      <c r="D81" t="s">
        <v>28</v>
      </c>
      <c r="E81" t="s">
        <v>37</v>
      </c>
      <c r="F81" t="s">
        <v>32</v>
      </c>
      <c r="G81">
        <v>45</v>
      </c>
      <c r="H81" s="5">
        <v>424</v>
      </c>
      <c r="I81" s="5">
        <v>19080</v>
      </c>
      <c r="J81" s="6">
        <v>16459.3</v>
      </c>
      <c r="K81" s="6">
        <v>2620.6999999999998</v>
      </c>
      <c r="L81" s="5"/>
    </row>
    <row r="82" spans="1:12" x14ac:dyDescent="0.3">
      <c r="A82" t="s">
        <v>111</v>
      </c>
      <c r="B82" s="8">
        <v>45861</v>
      </c>
      <c r="C82" t="s">
        <v>12</v>
      </c>
      <c r="D82" t="s">
        <v>28</v>
      </c>
      <c r="E82" t="s">
        <v>29</v>
      </c>
      <c r="F82" t="s">
        <v>15</v>
      </c>
      <c r="G82">
        <v>39</v>
      </c>
      <c r="H82" s="5">
        <v>1214</v>
      </c>
      <c r="I82" s="5">
        <v>47346</v>
      </c>
      <c r="J82" s="6">
        <v>36078.53</v>
      </c>
      <c r="K82" s="6">
        <v>11267.47</v>
      </c>
      <c r="L82" s="5"/>
    </row>
    <row r="83" spans="1:12" x14ac:dyDescent="0.3">
      <c r="A83" t="s">
        <v>112</v>
      </c>
      <c r="B83" s="8">
        <v>45943</v>
      </c>
      <c r="C83" t="s">
        <v>17</v>
      </c>
      <c r="D83" t="s">
        <v>25</v>
      </c>
      <c r="E83" t="s">
        <v>26</v>
      </c>
      <c r="F83" t="s">
        <v>15</v>
      </c>
      <c r="G83">
        <v>244</v>
      </c>
      <c r="H83" s="5">
        <v>1357</v>
      </c>
      <c r="I83" s="5">
        <v>331108</v>
      </c>
      <c r="J83" s="6">
        <v>288101.3</v>
      </c>
      <c r="K83" s="6">
        <v>43006.7</v>
      </c>
      <c r="L83" s="5"/>
    </row>
    <row r="84" spans="1:12" x14ac:dyDescent="0.3">
      <c r="A84" t="s">
        <v>113</v>
      </c>
      <c r="B84" s="8">
        <v>45960</v>
      </c>
      <c r="C84" t="s">
        <v>24</v>
      </c>
      <c r="D84" t="s">
        <v>13</v>
      </c>
      <c r="E84" t="s">
        <v>18</v>
      </c>
      <c r="F84" t="s">
        <v>15</v>
      </c>
      <c r="G84">
        <v>73</v>
      </c>
      <c r="H84" s="5">
        <v>1401</v>
      </c>
      <c r="I84" s="5">
        <v>102273</v>
      </c>
      <c r="J84" s="6">
        <v>78585.31</v>
      </c>
      <c r="K84" s="6">
        <v>23687.69</v>
      </c>
      <c r="L84" s="5"/>
    </row>
    <row r="85" spans="1:12" x14ac:dyDescent="0.3">
      <c r="A85" t="s">
        <v>114</v>
      </c>
      <c r="B85" s="8">
        <v>45831</v>
      </c>
      <c r="C85" t="s">
        <v>31</v>
      </c>
      <c r="D85" t="s">
        <v>25</v>
      </c>
      <c r="E85" t="s">
        <v>50</v>
      </c>
      <c r="F85" t="s">
        <v>15</v>
      </c>
      <c r="G85">
        <v>214</v>
      </c>
      <c r="H85" s="5">
        <v>1093</v>
      </c>
      <c r="I85" s="5">
        <v>233902</v>
      </c>
      <c r="J85" s="6">
        <v>167605.76999999999</v>
      </c>
      <c r="K85" s="6">
        <v>66296.23</v>
      </c>
      <c r="L85" s="5"/>
    </row>
    <row r="86" spans="1:12" x14ac:dyDescent="0.3">
      <c r="A86" t="s">
        <v>115</v>
      </c>
      <c r="B86" s="8">
        <v>45979</v>
      </c>
      <c r="C86" t="s">
        <v>12</v>
      </c>
      <c r="D86" t="s">
        <v>40</v>
      </c>
      <c r="E86" t="s">
        <v>76</v>
      </c>
      <c r="F86" t="s">
        <v>22</v>
      </c>
      <c r="G86">
        <v>202</v>
      </c>
      <c r="H86" s="5">
        <v>1313</v>
      </c>
      <c r="I86" s="5">
        <v>265226</v>
      </c>
      <c r="J86" s="6">
        <v>203150.36</v>
      </c>
      <c r="K86" s="6">
        <v>62075.64</v>
      </c>
      <c r="L86" s="5"/>
    </row>
    <row r="87" spans="1:12" x14ac:dyDescent="0.3">
      <c r="A87" t="s">
        <v>116</v>
      </c>
      <c r="B87" s="8">
        <v>45905</v>
      </c>
      <c r="C87" t="s">
        <v>31</v>
      </c>
      <c r="D87" t="s">
        <v>40</v>
      </c>
      <c r="E87" t="s">
        <v>41</v>
      </c>
      <c r="F87" t="s">
        <v>15</v>
      </c>
      <c r="G87">
        <v>440</v>
      </c>
      <c r="H87" s="5">
        <v>1024</v>
      </c>
      <c r="I87" s="5">
        <v>450560</v>
      </c>
      <c r="J87" s="6">
        <v>395143.29</v>
      </c>
      <c r="K87" s="6">
        <v>55416.71</v>
      </c>
      <c r="L87" s="5"/>
    </row>
    <row r="88" spans="1:12" x14ac:dyDescent="0.3">
      <c r="A88" t="s">
        <v>117</v>
      </c>
      <c r="B88" s="8">
        <v>45671</v>
      </c>
      <c r="C88" t="s">
        <v>31</v>
      </c>
      <c r="D88" t="s">
        <v>25</v>
      </c>
      <c r="E88" t="s">
        <v>50</v>
      </c>
      <c r="F88" t="s">
        <v>32</v>
      </c>
      <c r="G88">
        <v>270</v>
      </c>
      <c r="H88" s="5">
        <v>515</v>
      </c>
      <c r="I88" s="5">
        <v>139050</v>
      </c>
      <c r="J88" s="6">
        <v>94725.32</v>
      </c>
      <c r="K88" s="6">
        <v>44324.68</v>
      </c>
      <c r="L88" s="5"/>
    </row>
    <row r="89" spans="1:12" x14ac:dyDescent="0.3">
      <c r="A89" t="s">
        <v>118</v>
      </c>
      <c r="B89" s="8">
        <v>46012</v>
      </c>
      <c r="C89" t="s">
        <v>12</v>
      </c>
      <c r="D89" t="s">
        <v>40</v>
      </c>
      <c r="E89" t="s">
        <v>76</v>
      </c>
      <c r="F89" t="s">
        <v>15</v>
      </c>
      <c r="G89">
        <v>242</v>
      </c>
      <c r="H89" s="5">
        <v>1042</v>
      </c>
      <c r="I89" s="5">
        <v>252164</v>
      </c>
      <c r="J89" s="6">
        <v>210848.4</v>
      </c>
      <c r="K89" s="6">
        <v>41315.599999999999</v>
      </c>
      <c r="L89" s="5"/>
    </row>
    <row r="90" spans="1:12" x14ac:dyDescent="0.3">
      <c r="A90" t="s">
        <v>119</v>
      </c>
      <c r="B90" s="8">
        <v>45826</v>
      </c>
      <c r="C90" t="s">
        <v>31</v>
      </c>
      <c r="D90" t="s">
        <v>28</v>
      </c>
      <c r="E90" t="s">
        <v>29</v>
      </c>
      <c r="F90" t="s">
        <v>32</v>
      </c>
      <c r="G90">
        <v>217</v>
      </c>
      <c r="H90" s="5">
        <v>1432</v>
      </c>
      <c r="I90" s="5">
        <v>310744</v>
      </c>
      <c r="J90" s="6">
        <v>225432.58</v>
      </c>
      <c r="K90" s="6">
        <v>85311.42</v>
      </c>
      <c r="L90" s="5"/>
    </row>
    <row r="91" spans="1:12" x14ac:dyDescent="0.3">
      <c r="A91" t="s">
        <v>120</v>
      </c>
      <c r="B91" s="8">
        <v>45808</v>
      </c>
      <c r="C91" t="s">
        <v>17</v>
      </c>
      <c r="D91" t="s">
        <v>25</v>
      </c>
      <c r="E91" t="s">
        <v>50</v>
      </c>
      <c r="F91" t="s">
        <v>32</v>
      </c>
      <c r="G91">
        <v>235</v>
      </c>
      <c r="H91" s="5">
        <v>996</v>
      </c>
      <c r="I91" s="5">
        <v>234060</v>
      </c>
      <c r="J91" s="6">
        <v>186422.12</v>
      </c>
      <c r="K91" s="6">
        <v>47637.88</v>
      </c>
      <c r="L91" s="5"/>
    </row>
    <row r="92" spans="1:12" x14ac:dyDescent="0.3">
      <c r="A92" t="s">
        <v>121</v>
      </c>
      <c r="B92" s="8">
        <v>45718</v>
      </c>
      <c r="C92" t="s">
        <v>31</v>
      </c>
      <c r="D92" t="s">
        <v>13</v>
      </c>
      <c r="E92" t="s">
        <v>14</v>
      </c>
      <c r="F92" t="s">
        <v>15</v>
      </c>
      <c r="G92">
        <v>250</v>
      </c>
      <c r="H92" s="5">
        <v>844</v>
      </c>
      <c r="I92" s="5">
        <v>211000</v>
      </c>
      <c r="J92" s="6">
        <v>175077.54</v>
      </c>
      <c r="K92" s="6">
        <v>35922.46</v>
      </c>
      <c r="L92" s="5"/>
    </row>
    <row r="93" spans="1:12" x14ac:dyDescent="0.3">
      <c r="A93" t="s">
        <v>122</v>
      </c>
      <c r="B93" s="8">
        <v>45696</v>
      </c>
      <c r="C93" t="s">
        <v>31</v>
      </c>
      <c r="D93" t="s">
        <v>13</v>
      </c>
      <c r="E93" t="s">
        <v>20</v>
      </c>
      <c r="F93" t="s">
        <v>15</v>
      </c>
      <c r="G93">
        <v>402</v>
      </c>
      <c r="H93" s="5">
        <v>539</v>
      </c>
      <c r="I93" s="5">
        <v>216678</v>
      </c>
      <c r="J93" s="6">
        <v>156569.72</v>
      </c>
      <c r="K93" s="6">
        <v>60108.28</v>
      </c>
      <c r="L93" s="5"/>
    </row>
    <row r="94" spans="1:12" x14ac:dyDescent="0.3">
      <c r="A94" t="s">
        <v>123</v>
      </c>
      <c r="B94" s="8">
        <v>45939</v>
      </c>
      <c r="C94" t="s">
        <v>17</v>
      </c>
      <c r="D94" t="s">
        <v>13</v>
      </c>
      <c r="E94" t="s">
        <v>18</v>
      </c>
      <c r="F94" t="s">
        <v>15</v>
      </c>
      <c r="G94">
        <v>81</v>
      </c>
      <c r="H94" s="5">
        <v>1404</v>
      </c>
      <c r="I94" s="5">
        <v>113724</v>
      </c>
      <c r="J94" s="6">
        <v>87773.33</v>
      </c>
      <c r="K94" s="6">
        <v>25950.67</v>
      </c>
      <c r="L94" s="5"/>
    </row>
    <row r="95" spans="1:12" x14ac:dyDescent="0.3">
      <c r="A95" t="s">
        <v>124</v>
      </c>
      <c r="B95" s="8">
        <v>45896</v>
      </c>
      <c r="C95" t="s">
        <v>31</v>
      </c>
      <c r="D95" t="s">
        <v>13</v>
      </c>
      <c r="E95" t="s">
        <v>20</v>
      </c>
      <c r="F95" t="s">
        <v>32</v>
      </c>
      <c r="G95">
        <v>209</v>
      </c>
      <c r="H95" s="5">
        <v>1429</v>
      </c>
      <c r="I95" s="5">
        <v>298661</v>
      </c>
      <c r="J95" s="6">
        <v>263102.59000000003</v>
      </c>
      <c r="K95" s="6">
        <v>35558.410000000003</v>
      </c>
      <c r="L95" s="5"/>
    </row>
    <row r="96" spans="1:12" x14ac:dyDescent="0.3">
      <c r="A96" t="s">
        <v>125</v>
      </c>
      <c r="B96" s="8">
        <v>45746</v>
      </c>
      <c r="C96" t="s">
        <v>12</v>
      </c>
      <c r="D96" t="s">
        <v>25</v>
      </c>
      <c r="E96" t="s">
        <v>50</v>
      </c>
      <c r="F96" t="s">
        <v>15</v>
      </c>
      <c r="G96">
        <v>449</v>
      </c>
      <c r="H96" s="5">
        <v>1170</v>
      </c>
      <c r="I96" s="5">
        <v>525330</v>
      </c>
      <c r="J96" s="6">
        <v>369025.12</v>
      </c>
      <c r="K96" s="6">
        <v>156304.88</v>
      </c>
      <c r="L96" s="5"/>
    </row>
    <row r="97" spans="1:12" x14ac:dyDescent="0.3">
      <c r="A97" t="s">
        <v>126</v>
      </c>
      <c r="B97" s="8">
        <v>45686</v>
      </c>
      <c r="C97" t="s">
        <v>12</v>
      </c>
      <c r="D97" t="s">
        <v>40</v>
      </c>
      <c r="E97" t="s">
        <v>41</v>
      </c>
      <c r="F97" t="s">
        <v>15</v>
      </c>
      <c r="G97">
        <v>256</v>
      </c>
      <c r="H97" s="5">
        <v>1355</v>
      </c>
      <c r="I97" s="5">
        <v>346880</v>
      </c>
      <c r="J97" s="6">
        <v>281936.62</v>
      </c>
      <c r="K97" s="6">
        <v>64943.38</v>
      </c>
      <c r="L97" s="5"/>
    </row>
    <row r="98" spans="1:12" x14ac:dyDescent="0.3">
      <c r="A98" t="s">
        <v>127</v>
      </c>
      <c r="B98" s="8">
        <v>45951</v>
      </c>
      <c r="C98" t="s">
        <v>12</v>
      </c>
      <c r="D98" t="s">
        <v>13</v>
      </c>
      <c r="E98" t="s">
        <v>20</v>
      </c>
      <c r="F98" t="s">
        <v>32</v>
      </c>
      <c r="G98">
        <v>175</v>
      </c>
      <c r="H98" s="5">
        <v>700</v>
      </c>
      <c r="I98" s="5">
        <v>122500</v>
      </c>
      <c r="J98" s="6">
        <v>86989.95</v>
      </c>
      <c r="K98" s="6">
        <v>35510.050000000003</v>
      </c>
      <c r="L98" s="5"/>
    </row>
    <row r="99" spans="1:12" x14ac:dyDescent="0.3">
      <c r="A99" t="s">
        <v>128</v>
      </c>
      <c r="B99" s="8">
        <v>45842</v>
      </c>
      <c r="C99" t="s">
        <v>31</v>
      </c>
      <c r="D99" t="s">
        <v>25</v>
      </c>
      <c r="E99" t="s">
        <v>26</v>
      </c>
      <c r="F99" t="s">
        <v>32</v>
      </c>
      <c r="G99">
        <v>325</v>
      </c>
      <c r="H99" s="5">
        <v>903</v>
      </c>
      <c r="I99" s="5">
        <v>293475</v>
      </c>
      <c r="J99" s="6">
        <v>208832.59</v>
      </c>
      <c r="K99" s="6">
        <v>84642.41</v>
      </c>
      <c r="L99" s="5"/>
    </row>
    <row r="100" spans="1:12" x14ac:dyDescent="0.3">
      <c r="A100" t="s">
        <v>129</v>
      </c>
      <c r="B100" s="8">
        <v>45718</v>
      </c>
      <c r="C100" t="s">
        <v>12</v>
      </c>
      <c r="D100" t="s">
        <v>40</v>
      </c>
      <c r="E100" t="s">
        <v>76</v>
      </c>
      <c r="F100" t="s">
        <v>15</v>
      </c>
      <c r="G100">
        <v>59</v>
      </c>
      <c r="H100" s="5">
        <v>1177</v>
      </c>
      <c r="I100" s="5">
        <v>69443</v>
      </c>
      <c r="J100" s="6">
        <v>60178.080000000002</v>
      </c>
      <c r="K100" s="6">
        <v>9264.92</v>
      </c>
      <c r="L100" s="5"/>
    </row>
    <row r="101" spans="1:12" x14ac:dyDescent="0.3">
      <c r="A101" t="s">
        <v>130</v>
      </c>
      <c r="B101" s="8">
        <v>45901</v>
      </c>
      <c r="C101" t="s">
        <v>31</v>
      </c>
      <c r="D101" t="s">
        <v>28</v>
      </c>
      <c r="E101" t="s">
        <v>29</v>
      </c>
      <c r="F101" t="s">
        <v>15</v>
      </c>
      <c r="G101">
        <v>319</v>
      </c>
      <c r="H101" s="5">
        <v>1099</v>
      </c>
      <c r="I101" s="5">
        <v>350581</v>
      </c>
      <c r="J101" s="6">
        <v>277926.90999999997</v>
      </c>
      <c r="K101" s="6">
        <v>72654.09</v>
      </c>
      <c r="L101" s="5"/>
    </row>
    <row r="102" spans="1:12" x14ac:dyDescent="0.3">
      <c r="A102" t="s">
        <v>131</v>
      </c>
      <c r="B102" s="8">
        <v>46022</v>
      </c>
      <c r="C102" t="s">
        <v>31</v>
      </c>
      <c r="D102" t="s">
        <v>25</v>
      </c>
      <c r="E102" t="s">
        <v>50</v>
      </c>
      <c r="F102" t="s">
        <v>32</v>
      </c>
      <c r="G102">
        <v>256</v>
      </c>
      <c r="H102" s="5">
        <v>1337</v>
      </c>
      <c r="I102" s="5">
        <v>342272</v>
      </c>
      <c r="J102" s="6">
        <v>279366.2</v>
      </c>
      <c r="K102" s="6">
        <v>62905.8</v>
      </c>
      <c r="L102" s="5"/>
    </row>
    <row r="103" spans="1:12" x14ac:dyDescent="0.3">
      <c r="A103" t="s">
        <v>132</v>
      </c>
      <c r="B103" s="8">
        <v>45927</v>
      </c>
      <c r="C103" t="s">
        <v>12</v>
      </c>
      <c r="D103" t="s">
        <v>40</v>
      </c>
      <c r="E103" t="s">
        <v>41</v>
      </c>
      <c r="F103" t="s">
        <v>22</v>
      </c>
      <c r="G103">
        <v>103</v>
      </c>
      <c r="H103" s="5">
        <v>1279</v>
      </c>
      <c r="I103" s="5">
        <v>131737</v>
      </c>
      <c r="J103" s="6">
        <v>91781.9</v>
      </c>
      <c r="K103" s="6">
        <v>39955.1</v>
      </c>
      <c r="L103" s="5"/>
    </row>
    <row r="104" spans="1:12" x14ac:dyDescent="0.3">
      <c r="A104" t="s">
        <v>133</v>
      </c>
      <c r="B104" s="8">
        <v>45749</v>
      </c>
      <c r="C104" t="s">
        <v>24</v>
      </c>
      <c r="D104" t="s">
        <v>40</v>
      </c>
      <c r="E104" t="s">
        <v>41</v>
      </c>
      <c r="F104" t="s">
        <v>32</v>
      </c>
      <c r="G104">
        <v>218</v>
      </c>
      <c r="H104" s="5">
        <v>1119</v>
      </c>
      <c r="I104" s="5">
        <v>243942</v>
      </c>
      <c r="J104" s="6">
        <v>172148.02</v>
      </c>
      <c r="K104" s="6">
        <v>71793.98</v>
      </c>
      <c r="L104" s="5"/>
    </row>
    <row r="105" spans="1:12" x14ac:dyDescent="0.3">
      <c r="A105" t="s">
        <v>134</v>
      </c>
      <c r="B105" s="8">
        <v>45673</v>
      </c>
      <c r="C105" t="s">
        <v>31</v>
      </c>
      <c r="D105" t="s">
        <v>13</v>
      </c>
      <c r="E105" t="s">
        <v>20</v>
      </c>
      <c r="F105" t="s">
        <v>22</v>
      </c>
      <c r="G105">
        <v>80</v>
      </c>
      <c r="H105" s="5">
        <v>942</v>
      </c>
      <c r="I105" s="5">
        <v>75360</v>
      </c>
      <c r="J105" s="6">
        <v>65404.959999999999</v>
      </c>
      <c r="K105" s="6">
        <v>9955.0400000000009</v>
      </c>
      <c r="L105" s="5"/>
    </row>
    <row r="106" spans="1:12" x14ac:dyDescent="0.3">
      <c r="A106" t="s">
        <v>135</v>
      </c>
      <c r="B106" s="8">
        <v>45927</v>
      </c>
      <c r="C106" t="s">
        <v>12</v>
      </c>
      <c r="D106" t="s">
        <v>40</v>
      </c>
      <c r="E106" t="s">
        <v>76</v>
      </c>
      <c r="F106" t="s">
        <v>32</v>
      </c>
      <c r="G106">
        <v>403</v>
      </c>
      <c r="H106" s="5">
        <v>1029</v>
      </c>
      <c r="I106" s="5">
        <v>414687</v>
      </c>
      <c r="J106" s="6">
        <v>370666.73</v>
      </c>
      <c r="K106" s="6">
        <v>44020.27</v>
      </c>
      <c r="L106" s="5"/>
    </row>
    <row r="107" spans="1:12" x14ac:dyDescent="0.3">
      <c r="A107" t="s">
        <v>136</v>
      </c>
      <c r="B107" s="8">
        <v>45682</v>
      </c>
      <c r="C107" t="s">
        <v>31</v>
      </c>
      <c r="D107" t="s">
        <v>28</v>
      </c>
      <c r="E107" t="s">
        <v>29</v>
      </c>
      <c r="F107" t="s">
        <v>22</v>
      </c>
      <c r="G107">
        <v>91</v>
      </c>
      <c r="H107" s="5">
        <v>1010</v>
      </c>
      <c r="I107" s="5">
        <v>91910</v>
      </c>
      <c r="J107" s="6">
        <v>76814.16</v>
      </c>
      <c r="K107" s="6">
        <v>15095.84</v>
      </c>
      <c r="L107" s="5"/>
    </row>
    <row r="108" spans="1:12" x14ac:dyDescent="0.3">
      <c r="A108" t="s">
        <v>137</v>
      </c>
      <c r="B108" s="8">
        <v>45800</v>
      </c>
      <c r="C108" t="s">
        <v>31</v>
      </c>
      <c r="D108" t="s">
        <v>13</v>
      </c>
      <c r="E108" t="s">
        <v>18</v>
      </c>
      <c r="F108" t="s">
        <v>32</v>
      </c>
      <c r="G108">
        <v>300</v>
      </c>
      <c r="H108" s="5">
        <v>801</v>
      </c>
      <c r="I108" s="5">
        <v>240300</v>
      </c>
      <c r="J108" s="6">
        <v>180717.33</v>
      </c>
      <c r="K108" s="6">
        <v>59582.67</v>
      </c>
      <c r="L108" s="5"/>
    </row>
    <row r="109" spans="1:12" x14ac:dyDescent="0.3">
      <c r="A109" t="s">
        <v>138</v>
      </c>
      <c r="B109" s="8">
        <v>46022</v>
      </c>
      <c r="C109" t="s">
        <v>31</v>
      </c>
      <c r="D109" t="s">
        <v>28</v>
      </c>
      <c r="E109" t="s">
        <v>37</v>
      </c>
      <c r="F109" t="s">
        <v>22</v>
      </c>
      <c r="G109">
        <v>295</v>
      </c>
      <c r="H109" s="5">
        <v>1144</v>
      </c>
      <c r="I109" s="5">
        <v>337480</v>
      </c>
      <c r="J109" s="6">
        <v>231340.32</v>
      </c>
      <c r="K109" s="6">
        <v>106139.68</v>
      </c>
      <c r="L109" s="5"/>
    </row>
    <row r="110" spans="1:12" x14ac:dyDescent="0.3">
      <c r="A110" t="s">
        <v>139</v>
      </c>
      <c r="B110" s="8">
        <v>45979</v>
      </c>
      <c r="C110" t="s">
        <v>12</v>
      </c>
      <c r="D110" t="s">
        <v>13</v>
      </c>
      <c r="E110" t="s">
        <v>20</v>
      </c>
      <c r="F110" t="s">
        <v>15</v>
      </c>
      <c r="G110">
        <v>112</v>
      </c>
      <c r="H110" s="5">
        <v>770</v>
      </c>
      <c r="I110" s="5">
        <v>86240</v>
      </c>
      <c r="J110" s="6">
        <v>63892.15</v>
      </c>
      <c r="K110" s="6">
        <v>22347.85</v>
      </c>
      <c r="L110" s="5"/>
    </row>
    <row r="111" spans="1:12" x14ac:dyDescent="0.3">
      <c r="A111" t="s">
        <v>140</v>
      </c>
      <c r="B111" s="8">
        <v>45683</v>
      </c>
      <c r="C111" t="s">
        <v>12</v>
      </c>
      <c r="D111" t="s">
        <v>28</v>
      </c>
      <c r="E111" t="s">
        <v>29</v>
      </c>
      <c r="F111" t="s">
        <v>22</v>
      </c>
      <c r="G111">
        <v>333</v>
      </c>
      <c r="H111" s="5">
        <v>585</v>
      </c>
      <c r="I111" s="5">
        <v>194805</v>
      </c>
      <c r="J111" s="6">
        <v>144361.15</v>
      </c>
      <c r="K111" s="6">
        <v>50443.85</v>
      </c>
      <c r="L111" s="5"/>
    </row>
    <row r="112" spans="1:12" x14ac:dyDescent="0.3">
      <c r="A112" t="s">
        <v>141</v>
      </c>
      <c r="B112" s="8">
        <v>45782</v>
      </c>
      <c r="C112" t="s">
        <v>12</v>
      </c>
      <c r="D112" t="s">
        <v>13</v>
      </c>
      <c r="E112" t="s">
        <v>14</v>
      </c>
      <c r="F112" t="s">
        <v>15</v>
      </c>
      <c r="G112">
        <v>234</v>
      </c>
      <c r="H112" s="5">
        <v>697</v>
      </c>
      <c r="I112" s="5">
        <v>163098</v>
      </c>
      <c r="J112" s="6">
        <v>120316.03</v>
      </c>
      <c r="K112" s="6">
        <v>42781.97</v>
      </c>
      <c r="L112" s="5"/>
    </row>
    <row r="113" spans="1:12" x14ac:dyDescent="0.3">
      <c r="A113" t="s">
        <v>142</v>
      </c>
      <c r="B113" s="8">
        <v>45707</v>
      </c>
      <c r="C113" t="s">
        <v>24</v>
      </c>
      <c r="D113" t="s">
        <v>25</v>
      </c>
      <c r="E113" t="s">
        <v>50</v>
      </c>
      <c r="F113" t="s">
        <v>15</v>
      </c>
      <c r="G113">
        <v>482</v>
      </c>
      <c r="H113" s="5">
        <v>679</v>
      </c>
      <c r="I113" s="5">
        <v>327278</v>
      </c>
      <c r="J113" s="6">
        <v>224790.56</v>
      </c>
      <c r="K113" s="6">
        <v>102487.44</v>
      </c>
      <c r="L113" s="5"/>
    </row>
    <row r="114" spans="1:12" x14ac:dyDescent="0.3">
      <c r="A114" t="s">
        <v>143</v>
      </c>
      <c r="B114" s="8">
        <v>45793</v>
      </c>
      <c r="C114" t="s">
        <v>17</v>
      </c>
      <c r="D114" t="s">
        <v>28</v>
      </c>
      <c r="E114" t="s">
        <v>29</v>
      </c>
      <c r="F114" t="s">
        <v>15</v>
      </c>
      <c r="G114">
        <v>270</v>
      </c>
      <c r="H114" s="5">
        <v>1276</v>
      </c>
      <c r="I114" s="5">
        <v>344520</v>
      </c>
      <c r="J114" s="6">
        <v>271554.12</v>
      </c>
      <c r="K114" s="6">
        <v>72965.88</v>
      </c>
      <c r="L114" s="5"/>
    </row>
    <row r="115" spans="1:12" x14ac:dyDescent="0.3">
      <c r="A115" t="s">
        <v>144</v>
      </c>
      <c r="B115" s="8">
        <v>45855</v>
      </c>
      <c r="C115" t="s">
        <v>17</v>
      </c>
      <c r="D115" t="s">
        <v>13</v>
      </c>
      <c r="E115" t="s">
        <v>18</v>
      </c>
      <c r="F115" t="s">
        <v>15</v>
      </c>
      <c r="G115">
        <v>47</v>
      </c>
      <c r="H115" s="5">
        <v>1071</v>
      </c>
      <c r="I115" s="5">
        <v>50337</v>
      </c>
      <c r="J115" s="6">
        <v>33233.33</v>
      </c>
      <c r="K115" s="6">
        <v>17103.669999999998</v>
      </c>
      <c r="L115" s="5"/>
    </row>
    <row r="116" spans="1:12" x14ac:dyDescent="0.3">
      <c r="A116" t="s">
        <v>145</v>
      </c>
      <c r="B116" s="8">
        <v>45978</v>
      </c>
      <c r="C116" t="s">
        <v>31</v>
      </c>
      <c r="D116" t="s">
        <v>13</v>
      </c>
      <c r="E116" t="s">
        <v>18</v>
      </c>
      <c r="F116" t="s">
        <v>32</v>
      </c>
      <c r="G116">
        <v>126</v>
      </c>
      <c r="H116" s="5">
        <v>351</v>
      </c>
      <c r="I116" s="5">
        <v>44226</v>
      </c>
      <c r="J116" s="6">
        <v>38167.269999999997</v>
      </c>
      <c r="K116" s="6">
        <v>6058.73</v>
      </c>
      <c r="L116" s="5"/>
    </row>
    <row r="117" spans="1:12" x14ac:dyDescent="0.3">
      <c r="A117" t="s">
        <v>146</v>
      </c>
      <c r="B117" s="8">
        <v>45767</v>
      </c>
      <c r="C117" t="s">
        <v>24</v>
      </c>
      <c r="D117" t="s">
        <v>28</v>
      </c>
      <c r="E117" t="s">
        <v>37</v>
      </c>
      <c r="F117" t="s">
        <v>22</v>
      </c>
      <c r="G117">
        <v>395</v>
      </c>
      <c r="H117" s="5">
        <v>510</v>
      </c>
      <c r="I117" s="5">
        <v>201450</v>
      </c>
      <c r="J117" s="6">
        <v>172787.94</v>
      </c>
      <c r="K117" s="6">
        <v>28662.06</v>
      </c>
      <c r="L117" s="5"/>
    </row>
    <row r="118" spans="1:12" x14ac:dyDescent="0.3">
      <c r="A118" t="s">
        <v>147</v>
      </c>
      <c r="B118" s="8">
        <v>45888</v>
      </c>
      <c r="C118" t="s">
        <v>31</v>
      </c>
      <c r="D118" t="s">
        <v>13</v>
      </c>
      <c r="E118" t="s">
        <v>20</v>
      </c>
      <c r="F118" t="s">
        <v>15</v>
      </c>
      <c r="G118">
        <v>443</v>
      </c>
      <c r="H118" s="5">
        <v>564</v>
      </c>
      <c r="I118" s="5">
        <v>249852</v>
      </c>
      <c r="J118" s="6">
        <v>177136.61</v>
      </c>
      <c r="K118" s="6">
        <v>72715.39</v>
      </c>
      <c r="L118" s="5"/>
    </row>
    <row r="119" spans="1:12" x14ac:dyDescent="0.3">
      <c r="A119" t="s">
        <v>148</v>
      </c>
      <c r="B119" s="8">
        <v>45662</v>
      </c>
      <c r="C119" t="s">
        <v>17</v>
      </c>
      <c r="D119" t="s">
        <v>13</v>
      </c>
      <c r="E119" t="s">
        <v>18</v>
      </c>
      <c r="F119" t="s">
        <v>22</v>
      </c>
      <c r="G119">
        <v>57</v>
      </c>
      <c r="H119" s="5">
        <v>980</v>
      </c>
      <c r="I119" s="5">
        <v>55860</v>
      </c>
      <c r="J119" s="6">
        <v>48040.86</v>
      </c>
      <c r="K119" s="6">
        <v>7819.14</v>
      </c>
      <c r="L119" s="5"/>
    </row>
    <row r="120" spans="1:12" x14ac:dyDescent="0.3">
      <c r="A120" t="s">
        <v>149</v>
      </c>
      <c r="B120" s="8">
        <v>45796</v>
      </c>
      <c r="C120" t="s">
        <v>17</v>
      </c>
      <c r="D120" t="s">
        <v>28</v>
      </c>
      <c r="E120" t="s">
        <v>29</v>
      </c>
      <c r="F120" t="s">
        <v>32</v>
      </c>
      <c r="G120">
        <v>386</v>
      </c>
      <c r="H120" s="5">
        <v>490</v>
      </c>
      <c r="I120" s="5">
        <v>189140</v>
      </c>
      <c r="J120" s="6">
        <v>146835.79</v>
      </c>
      <c r="K120" s="6">
        <v>42304.21</v>
      </c>
      <c r="L120" s="5"/>
    </row>
    <row r="121" spans="1:12" x14ac:dyDescent="0.3">
      <c r="A121" t="s">
        <v>150</v>
      </c>
      <c r="B121" s="8">
        <v>45881</v>
      </c>
      <c r="C121" t="s">
        <v>17</v>
      </c>
      <c r="D121" t="s">
        <v>13</v>
      </c>
      <c r="E121" t="s">
        <v>20</v>
      </c>
      <c r="F121" t="s">
        <v>32</v>
      </c>
      <c r="G121">
        <v>413</v>
      </c>
      <c r="H121" s="5">
        <v>756</v>
      </c>
      <c r="I121" s="5">
        <v>312228</v>
      </c>
      <c r="J121" s="6">
        <v>250592.47</v>
      </c>
      <c r="K121" s="6">
        <v>61635.53</v>
      </c>
      <c r="L121" s="5"/>
    </row>
    <row r="122" spans="1:12" x14ac:dyDescent="0.3">
      <c r="A122" t="s">
        <v>151</v>
      </c>
      <c r="B122" s="8">
        <v>45813</v>
      </c>
      <c r="C122" t="s">
        <v>17</v>
      </c>
      <c r="D122" t="s">
        <v>40</v>
      </c>
      <c r="E122" t="s">
        <v>76</v>
      </c>
      <c r="F122" t="s">
        <v>22</v>
      </c>
      <c r="G122">
        <v>490</v>
      </c>
      <c r="H122" s="5">
        <v>1103</v>
      </c>
      <c r="I122" s="5">
        <v>540470</v>
      </c>
      <c r="J122" s="6">
        <v>392536.41</v>
      </c>
      <c r="K122" s="6">
        <v>147933.59</v>
      </c>
      <c r="L122" s="5"/>
    </row>
    <row r="123" spans="1:12" x14ac:dyDescent="0.3">
      <c r="A123" t="s">
        <v>152</v>
      </c>
      <c r="B123" s="8">
        <v>45695</v>
      </c>
      <c r="C123" t="s">
        <v>24</v>
      </c>
      <c r="D123" t="s">
        <v>25</v>
      </c>
      <c r="E123" t="s">
        <v>50</v>
      </c>
      <c r="F123" t="s">
        <v>32</v>
      </c>
      <c r="G123">
        <v>333</v>
      </c>
      <c r="H123" s="5">
        <v>438</v>
      </c>
      <c r="I123" s="5">
        <v>145854</v>
      </c>
      <c r="J123" s="6">
        <v>108368.27</v>
      </c>
      <c r="K123" s="6">
        <v>37485.730000000003</v>
      </c>
      <c r="L123" s="5"/>
    </row>
    <row r="124" spans="1:12" x14ac:dyDescent="0.3">
      <c r="A124" t="s">
        <v>153</v>
      </c>
      <c r="B124" s="8">
        <v>46023</v>
      </c>
      <c r="C124" t="s">
        <v>31</v>
      </c>
      <c r="D124" t="s">
        <v>40</v>
      </c>
      <c r="E124" t="s">
        <v>76</v>
      </c>
      <c r="F124" t="s">
        <v>15</v>
      </c>
      <c r="G124">
        <v>25</v>
      </c>
      <c r="H124" s="5">
        <v>607</v>
      </c>
      <c r="I124" s="5">
        <v>15175</v>
      </c>
      <c r="J124" s="6">
        <v>13113.26</v>
      </c>
      <c r="K124" s="6">
        <v>2061.7399999999998</v>
      </c>
      <c r="L124" s="5"/>
    </row>
    <row r="125" spans="1:12" x14ac:dyDescent="0.3">
      <c r="A125" t="s">
        <v>154</v>
      </c>
      <c r="B125" s="8">
        <v>45986</v>
      </c>
      <c r="C125" t="s">
        <v>12</v>
      </c>
      <c r="D125" t="s">
        <v>25</v>
      </c>
      <c r="E125" t="s">
        <v>26</v>
      </c>
      <c r="F125" t="s">
        <v>22</v>
      </c>
      <c r="G125">
        <v>219</v>
      </c>
      <c r="H125" s="5">
        <v>600</v>
      </c>
      <c r="I125" s="5">
        <v>131400</v>
      </c>
      <c r="J125" s="6">
        <v>114588.14</v>
      </c>
      <c r="K125" s="6">
        <v>16811.86</v>
      </c>
      <c r="L125" s="5"/>
    </row>
    <row r="126" spans="1:12" x14ac:dyDescent="0.3">
      <c r="A126" t="s">
        <v>155</v>
      </c>
      <c r="B126" s="8">
        <v>45952</v>
      </c>
      <c r="C126" t="s">
        <v>12</v>
      </c>
      <c r="D126" t="s">
        <v>40</v>
      </c>
      <c r="E126" t="s">
        <v>76</v>
      </c>
      <c r="F126" t="s">
        <v>22</v>
      </c>
      <c r="G126">
        <v>189</v>
      </c>
      <c r="H126" s="5">
        <v>1177</v>
      </c>
      <c r="I126" s="5">
        <v>222453</v>
      </c>
      <c r="J126" s="6">
        <v>167545.19</v>
      </c>
      <c r="K126" s="6">
        <v>54907.81</v>
      </c>
      <c r="L126" s="5"/>
    </row>
    <row r="127" spans="1:12" x14ac:dyDescent="0.3">
      <c r="A127" t="s">
        <v>156</v>
      </c>
      <c r="B127" s="8">
        <v>45788</v>
      </c>
      <c r="C127" t="s">
        <v>12</v>
      </c>
      <c r="D127" t="s">
        <v>28</v>
      </c>
      <c r="E127" t="s">
        <v>37</v>
      </c>
      <c r="F127" t="s">
        <v>15</v>
      </c>
      <c r="G127">
        <v>370</v>
      </c>
      <c r="H127" s="5">
        <v>932</v>
      </c>
      <c r="I127" s="5">
        <v>344840</v>
      </c>
      <c r="J127" s="6">
        <v>283202.61</v>
      </c>
      <c r="K127" s="6">
        <v>61637.39</v>
      </c>
      <c r="L127" s="5"/>
    </row>
    <row r="128" spans="1:12" x14ac:dyDescent="0.3">
      <c r="A128" t="s">
        <v>157</v>
      </c>
      <c r="B128" s="8">
        <v>45664</v>
      </c>
      <c r="C128" t="s">
        <v>31</v>
      </c>
      <c r="D128" t="s">
        <v>28</v>
      </c>
      <c r="E128" t="s">
        <v>37</v>
      </c>
      <c r="F128" t="s">
        <v>22</v>
      </c>
      <c r="G128">
        <v>27</v>
      </c>
      <c r="H128" s="5">
        <v>1412</v>
      </c>
      <c r="I128" s="5">
        <v>38124</v>
      </c>
      <c r="J128" s="6">
        <v>33697.24</v>
      </c>
      <c r="K128" s="6">
        <v>4426.76</v>
      </c>
      <c r="L128" s="5"/>
    </row>
    <row r="129" spans="1:12" x14ac:dyDescent="0.3">
      <c r="A129" t="s">
        <v>158</v>
      </c>
      <c r="B129" s="8">
        <v>45710</v>
      </c>
      <c r="C129" t="s">
        <v>12</v>
      </c>
      <c r="D129" t="s">
        <v>25</v>
      </c>
      <c r="E129" t="s">
        <v>26</v>
      </c>
      <c r="F129" t="s">
        <v>22</v>
      </c>
      <c r="G129">
        <v>270</v>
      </c>
      <c r="H129" s="5">
        <v>979</v>
      </c>
      <c r="I129" s="5">
        <v>264330</v>
      </c>
      <c r="J129" s="6">
        <v>200208.03</v>
      </c>
      <c r="K129" s="6">
        <v>64121.97</v>
      </c>
      <c r="L129" s="5"/>
    </row>
    <row r="130" spans="1:12" x14ac:dyDescent="0.3">
      <c r="A130" t="s">
        <v>159</v>
      </c>
      <c r="B130" s="8">
        <v>45691</v>
      </c>
      <c r="C130" t="s">
        <v>31</v>
      </c>
      <c r="D130" t="s">
        <v>40</v>
      </c>
      <c r="E130" t="s">
        <v>76</v>
      </c>
      <c r="F130" t="s">
        <v>22</v>
      </c>
      <c r="G130">
        <v>136</v>
      </c>
      <c r="H130" s="5">
        <v>613</v>
      </c>
      <c r="I130" s="5">
        <v>83368</v>
      </c>
      <c r="J130" s="6">
        <v>62813.58</v>
      </c>
      <c r="K130" s="6">
        <v>20554.419999999998</v>
      </c>
      <c r="L130" s="5"/>
    </row>
    <row r="131" spans="1:12" x14ac:dyDescent="0.3">
      <c r="A131" t="s">
        <v>160</v>
      </c>
      <c r="B131" s="8">
        <v>45762</v>
      </c>
      <c r="C131" t="s">
        <v>12</v>
      </c>
      <c r="D131" t="s">
        <v>25</v>
      </c>
      <c r="E131" t="s">
        <v>50</v>
      </c>
      <c r="F131" t="s">
        <v>22</v>
      </c>
      <c r="G131">
        <v>429</v>
      </c>
      <c r="H131" s="5">
        <v>1344</v>
      </c>
      <c r="I131" s="5">
        <v>576576</v>
      </c>
      <c r="J131" s="6">
        <v>419842.25</v>
      </c>
      <c r="K131" s="6">
        <v>156733.75</v>
      </c>
      <c r="L131" s="5"/>
    </row>
    <row r="132" spans="1:12" x14ac:dyDescent="0.3">
      <c r="A132" t="s">
        <v>161</v>
      </c>
      <c r="B132" s="8">
        <v>45904</v>
      </c>
      <c r="C132" t="s">
        <v>24</v>
      </c>
      <c r="D132" t="s">
        <v>25</v>
      </c>
      <c r="E132" t="s">
        <v>50</v>
      </c>
      <c r="F132" t="s">
        <v>32</v>
      </c>
      <c r="G132">
        <v>212</v>
      </c>
      <c r="H132" s="5">
        <v>611</v>
      </c>
      <c r="I132" s="5">
        <v>129532</v>
      </c>
      <c r="J132" s="6">
        <v>108011.98</v>
      </c>
      <c r="K132" s="6">
        <v>21520.02</v>
      </c>
      <c r="L132" s="5"/>
    </row>
    <row r="133" spans="1:12" x14ac:dyDescent="0.3">
      <c r="A133" t="s">
        <v>162</v>
      </c>
      <c r="B133" s="8">
        <v>46012</v>
      </c>
      <c r="C133" t="s">
        <v>12</v>
      </c>
      <c r="D133" t="s">
        <v>28</v>
      </c>
      <c r="E133" t="s">
        <v>29</v>
      </c>
      <c r="F133" t="s">
        <v>32</v>
      </c>
      <c r="G133">
        <v>358</v>
      </c>
      <c r="H133" s="5">
        <v>1043</v>
      </c>
      <c r="I133" s="5">
        <v>373394</v>
      </c>
      <c r="J133" s="6">
        <v>330875.71000000002</v>
      </c>
      <c r="K133" s="6">
        <v>42518.29</v>
      </c>
      <c r="L133" s="5"/>
    </row>
    <row r="134" spans="1:12" x14ac:dyDescent="0.3">
      <c r="A134" t="s">
        <v>163</v>
      </c>
      <c r="B134" s="8">
        <v>45674</v>
      </c>
      <c r="C134" t="s">
        <v>17</v>
      </c>
      <c r="D134" t="s">
        <v>28</v>
      </c>
      <c r="E134" t="s">
        <v>37</v>
      </c>
      <c r="F134" t="s">
        <v>32</v>
      </c>
      <c r="G134">
        <v>21</v>
      </c>
      <c r="H134" s="5">
        <v>1313</v>
      </c>
      <c r="I134" s="5">
        <v>27573</v>
      </c>
      <c r="J134" s="6">
        <v>24086.22</v>
      </c>
      <c r="K134" s="6">
        <v>3486.78</v>
      </c>
      <c r="L134" s="5"/>
    </row>
    <row r="135" spans="1:12" x14ac:dyDescent="0.3">
      <c r="A135" t="s">
        <v>164</v>
      </c>
      <c r="B135" s="8">
        <v>45817</v>
      </c>
      <c r="C135" t="s">
        <v>12</v>
      </c>
      <c r="D135" t="s">
        <v>28</v>
      </c>
      <c r="E135" t="s">
        <v>29</v>
      </c>
      <c r="F135" t="s">
        <v>22</v>
      </c>
      <c r="G135">
        <v>279</v>
      </c>
      <c r="H135" s="5">
        <v>1142</v>
      </c>
      <c r="I135" s="5">
        <v>318618</v>
      </c>
      <c r="J135" s="6">
        <v>216763.47</v>
      </c>
      <c r="K135" s="6">
        <v>101854.53</v>
      </c>
      <c r="L135" s="5"/>
    </row>
    <row r="136" spans="1:12" x14ac:dyDescent="0.3">
      <c r="A136" t="s">
        <v>165</v>
      </c>
      <c r="B136" s="8">
        <v>45703</v>
      </c>
      <c r="C136" t="s">
        <v>31</v>
      </c>
      <c r="D136" t="s">
        <v>13</v>
      </c>
      <c r="E136" t="s">
        <v>14</v>
      </c>
      <c r="F136" t="s">
        <v>15</v>
      </c>
      <c r="G136">
        <v>308</v>
      </c>
      <c r="H136" s="5">
        <v>1335</v>
      </c>
      <c r="I136" s="5">
        <v>411180</v>
      </c>
      <c r="J136" s="6">
        <v>273288.69</v>
      </c>
      <c r="K136" s="6">
        <v>137891.31</v>
      </c>
      <c r="L136" s="5"/>
    </row>
    <row r="137" spans="1:12" x14ac:dyDescent="0.3">
      <c r="A137" t="s">
        <v>166</v>
      </c>
      <c r="B137" s="8">
        <v>45847</v>
      </c>
      <c r="C137" t="s">
        <v>12</v>
      </c>
      <c r="D137" t="s">
        <v>25</v>
      </c>
      <c r="E137" t="s">
        <v>50</v>
      </c>
      <c r="F137" t="s">
        <v>22</v>
      </c>
      <c r="G137">
        <v>107</v>
      </c>
      <c r="H137" s="5">
        <v>584</v>
      </c>
      <c r="I137" s="5">
        <v>62488</v>
      </c>
      <c r="J137" s="6">
        <v>50740.62</v>
      </c>
      <c r="K137" s="6">
        <v>11747.38</v>
      </c>
      <c r="L137" s="5"/>
    </row>
    <row r="138" spans="1:12" x14ac:dyDescent="0.3">
      <c r="A138" t="s">
        <v>167</v>
      </c>
      <c r="B138" s="8">
        <v>45985</v>
      </c>
      <c r="C138" t="s">
        <v>12</v>
      </c>
      <c r="D138" t="s">
        <v>28</v>
      </c>
      <c r="E138" t="s">
        <v>29</v>
      </c>
      <c r="F138" t="s">
        <v>32</v>
      </c>
      <c r="G138">
        <v>359</v>
      </c>
      <c r="H138" s="5">
        <v>921</v>
      </c>
      <c r="I138" s="5">
        <v>330639</v>
      </c>
      <c r="J138" s="6">
        <v>273344.3</v>
      </c>
      <c r="K138" s="6">
        <v>57294.7</v>
      </c>
      <c r="L138" s="5"/>
    </row>
    <row r="139" spans="1:12" x14ac:dyDescent="0.3">
      <c r="A139" t="s">
        <v>168</v>
      </c>
      <c r="B139" s="8">
        <v>45819</v>
      </c>
      <c r="C139" t="s">
        <v>12</v>
      </c>
      <c r="D139" t="s">
        <v>28</v>
      </c>
      <c r="E139" t="s">
        <v>37</v>
      </c>
      <c r="F139" t="s">
        <v>22</v>
      </c>
      <c r="G139">
        <v>241</v>
      </c>
      <c r="H139" s="5">
        <v>976</v>
      </c>
      <c r="I139" s="5">
        <v>235216</v>
      </c>
      <c r="J139" s="6">
        <v>211274.41</v>
      </c>
      <c r="K139" s="6">
        <v>23941.59</v>
      </c>
      <c r="L139" s="5"/>
    </row>
    <row r="140" spans="1:12" x14ac:dyDescent="0.3">
      <c r="A140" t="s">
        <v>169</v>
      </c>
      <c r="B140" s="8">
        <v>45795</v>
      </c>
      <c r="C140" t="s">
        <v>17</v>
      </c>
      <c r="D140" t="s">
        <v>13</v>
      </c>
      <c r="E140" t="s">
        <v>18</v>
      </c>
      <c r="F140" t="s">
        <v>22</v>
      </c>
      <c r="G140">
        <v>193</v>
      </c>
      <c r="H140" s="5">
        <v>958</v>
      </c>
      <c r="I140" s="5">
        <v>184894</v>
      </c>
      <c r="J140" s="6">
        <v>164272.75</v>
      </c>
      <c r="K140" s="6">
        <v>20621.25</v>
      </c>
      <c r="L140" s="5"/>
    </row>
    <row r="141" spans="1:12" x14ac:dyDescent="0.3">
      <c r="A141" t="s">
        <v>170</v>
      </c>
      <c r="B141" s="8">
        <v>45685</v>
      </c>
      <c r="C141" t="s">
        <v>12</v>
      </c>
      <c r="D141" t="s">
        <v>28</v>
      </c>
      <c r="E141" t="s">
        <v>37</v>
      </c>
      <c r="F141" t="s">
        <v>22</v>
      </c>
      <c r="G141">
        <v>317</v>
      </c>
      <c r="H141" s="5">
        <v>1229</v>
      </c>
      <c r="I141" s="5">
        <v>389593</v>
      </c>
      <c r="J141" s="6">
        <v>275470.51</v>
      </c>
      <c r="K141" s="6">
        <v>114122.49</v>
      </c>
      <c r="L141" s="5"/>
    </row>
    <row r="142" spans="1:12" x14ac:dyDescent="0.3">
      <c r="A142" t="s">
        <v>171</v>
      </c>
      <c r="B142" s="8">
        <v>45714</v>
      </c>
      <c r="C142" t="s">
        <v>17</v>
      </c>
      <c r="D142" t="s">
        <v>25</v>
      </c>
      <c r="E142" t="s">
        <v>26</v>
      </c>
      <c r="F142" t="s">
        <v>22</v>
      </c>
      <c r="G142">
        <v>323</v>
      </c>
      <c r="H142" s="5">
        <v>1461</v>
      </c>
      <c r="I142" s="5">
        <v>471903</v>
      </c>
      <c r="J142" s="6">
        <v>422483.26</v>
      </c>
      <c r="K142" s="6">
        <v>49419.74</v>
      </c>
      <c r="L142" s="5"/>
    </row>
    <row r="143" spans="1:12" x14ac:dyDescent="0.3">
      <c r="A143" t="s">
        <v>172</v>
      </c>
      <c r="B143" s="8">
        <v>45868</v>
      </c>
      <c r="C143" t="s">
        <v>17</v>
      </c>
      <c r="D143" t="s">
        <v>25</v>
      </c>
      <c r="E143" t="s">
        <v>26</v>
      </c>
      <c r="F143" t="s">
        <v>22</v>
      </c>
      <c r="G143">
        <v>250</v>
      </c>
      <c r="H143" s="5">
        <v>1233</v>
      </c>
      <c r="I143" s="5">
        <v>308250</v>
      </c>
      <c r="J143" s="6">
        <v>271107.87</v>
      </c>
      <c r="K143" s="6">
        <v>37142.129999999997</v>
      </c>
      <c r="L143" s="5"/>
    </row>
    <row r="144" spans="1:12" x14ac:dyDescent="0.3">
      <c r="A144" t="s">
        <v>173</v>
      </c>
      <c r="B144" s="8">
        <v>45711</v>
      </c>
      <c r="C144" t="s">
        <v>17</v>
      </c>
      <c r="D144" t="s">
        <v>25</v>
      </c>
      <c r="E144" t="s">
        <v>26</v>
      </c>
      <c r="F144" t="s">
        <v>32</v>
      </c>
      <c r="G144">
        <v>267</v>
      </c>
      <c r="H144" s="5">
        <v>1442</v>
      </c>
      <c r="I144" s="5">
        <v>385014</v>
      </c>
      <c r="J144" s="6">
        <v>278861.26</v>
      </c>
      <c r="K144" s="6">
        <v>106152.74</v>
      </c>
      <c r="L144" s="5"/>
    </row>
    <row r="145" spans="1:12" x14ac:dyDescent="0.3">
      <c r="A145" t="s">
        <v>174</v>
      </c>
      <c r="B145" s="8">
        <v>45783</v>
      </c>
      <c r="C145" t="s">
        <v>31</v>
      </c>
      <c r="D145" t="s">
        <v>28</v>
      </c>
      <c r="E145" t="s">
        <v>37</v>
      </c>
      <c r="F145" t="s">
        <v>32</v>
      </c>
      <c r="G145">
        <v>244</v>
      </c>
      <c r="H145" s="5">
        <v>1265</v>
      </c>
      <c r="I145" s="5">
        <v>308660</v>
      </c>
      <c r="J145" s="6">
        <v>220831.87</v>
      </c>
      <c r="K145" s="6">
        <v>87828.13</v>
      </c>
      <c r="L145" s="5"/>
    </row>
    <row r="146" spans="1:12" x14ac:dyDescent="0.3">
      <c r="A146" t="s">
        <v>175</v>
      </c>
      <c r="B146" s="8">
        <v>45874</v>
      </c>
      <c r="C146" t="s">
        <v>12</v>
      </c>
      <c r="D146" t="s">
        <v>25</v>
      </c>
      <c r="E146" t="s">
        <v>26</v>
      </c>
      <c r="F146" t="s">
        <v>32</v>
      </c>
      <c r="G146">
        <v>180</v>
      </c>
      <c r="H146" s="5">
        <v>982</v>
      </c>
      <c r="I146" s="5">
        <v>176760</v>
      </c>
      <c r="J146" s="6">
        <v>128765.29</v>
      </c>
      <c r="K146" s="6">
        <v>47994.71</v>
      </c>
      <c r="L146" s="5"/>
    </row>
    <row r="147" spans="1:12" x14ac:dyDescent="0.3">
      <c r="A147" t="s">
        <v>176</v>
      </c>
      <c r="B147" s="8">
        <v>45790</v>
      </c>
      <c r="C147" t="s">
        <v>12</v>
      </c>
      <c r="D147" t="s">
        <v>40</v>
      </c>
      <c r="E147" t="s">
        <v>41</v>
      </c>
      <c r="F147" t="s">
        <v>22</v>
      </c>
      <c r="G147">
        <v>150</v>
      </c>
      <c r="H147" s="5">
        <v>445</v>
      </c>
      <c r="I147" s="5">
        <v>66750</v>
      </c>
      <c r="J147" s="6">
        <v>56658.13</v>
      </c>
      <c r="K147" s="6">
        <v>10091.870000000001</v>
      </c>
      <c r="L147" s="5"/>
    </row>
    <row r="148" spans="1:12" x14ac:dyDescent="0.3">
      <c r="A148" t="s">
        <v>177</v>
      </c>
      <c r="B148" s="8">
        <v>46008</v>
      </c>
      <c r="C148" t="s">
        <v>12</v>
      </c>
      <c r="D148" t="s">
        <v>40</v>
      </c>
      <c r="E148" t="s">
        <v>76</v>
      </c>
      <c r="F148" t="s">
        <v>22</v>
      </c>
      <c r="G148">
        <v>167</v>
      </c>
      <c r="H148" s="5">
        <v>522</v>
      </c>
      <c r="I148" s="5">
        <v>87174</v>
      </c>
      <c r="J148" s="6">
        <v>58031.5</v>
      </c>
      <c r="K148" s="6">
        <v>29142.5</v>
      </c>
      <c r="L148" s="5"/>
    </row>
    <row r="149" spans="1:12" x14ac:dyDescent="0.3">
      <c r="A149" t="s">
        <v>178</v>
      </c>
      <c r="B149" s="8">
        <v>45988</v>
      </c>
      <c r="C149" t="s">
        <v>31</v>
      </c>
      <c r="D149" t="s">
        <v>40</v>
      </c>
      <c r="E149" t="s">
        <v>41</v>
      </c>
      <c r="F149" t="s">
        <v>32</v>
      </c>
      <c r="G149">
        <v>229</v>
      </c>
      <c r="H149" s="5">
        <v>493</v>
      </c>
      <c r="I149" s="5">
        <v>112897</v>
      </c>
      <c r="J149" s="6">
        <v>88871.56</v>
      </c>
      <c r="K149" s="6">
        <v>24025.439999999999</v>
      </c>
      <c r="L149" s="5"/>
    </row>
    <row r="150" spans="1:12" x14ac:dyDescent="0.3">
      <c r="A150" t="s">
        <v>179</v>
      </c>
      <c r="B150" s="8">
        <v>45964</v>
      </c>
      <c r="C150" t="s">
        <v>17</v>
      </c>
      <c r="D150" t="s">
        <v>28</v>
      </c>
      <c r="E150" t="s">
        <v>37</v>
      </c>
      <c r="F150" t="s">
        <v>22</v>
      </c>
      <c r="G150">
        <v>340</v>
      </c>
      <c r="H150" s="5">
        <v>601</v>
      </c>
      <c r="I150" s="5">
        <v>204340</v>
      </c>
      <c r="J150" s="6">
        <v>175878.98</v>
      </c>
      <c r="K150" s="6">
        <v>28461.02</v>
      </c>
      <c r="L150" s="5"/>
    </row>
    <row r="151" spans="1:12" x14ac:dyDescent="0.3">
      <c r="A151" t="s">
        <v>180</v>
      </c>
      <c r="B151" s="8">
        <v>45923</v>
      </c>
      <c r="C151" t="s">
        <v>12</v>
      </c>
      <c r="D151" t="s">
        <v>28</v>
      </c>
      <c r="E151" t="s">
        <v>37</v>
      </c>
      <c r="F151" t="s">
        <v>22</v>
      </c>
      <c r="G151">
        <v>276</v>
      </c>
      <c r="H151" s="5">
        <v>1110</v>
      </c>
      <c r="I151" s="5">
        <v>306360</v>
      </c>
      <c r="J151" s="6">
        <v>224775.31</v>
      </c>
      <c r="K151" s="6">
        <v>81584.69</v>
      </c>
      <c r="L151" s="5"/>
    </row>
    <row r="152" spans="1:12" x14ac:dyDescent="0.3">
      <c r="A152" t="s">
        <v>181</v>
      </c>
      <c r="B152" s="8">
        <v>45850</v>
      </c>
      <c r="C152" t="s">
        <v>12</v>
      </c>
      <c r="D152" t="s">
        <v>28</v>
      </c>
      <c r="E152" t="s">
        <v>37</v>
      </c>
      <c r="F152" t="s">
        <v>22</v>
      </c>
      <c r="G152">
        <v>295</v>
      </c>
      <c r="H152" s="5">
        <v>1072</v>
      </c>
      <c r="I152" s="5">
        <v>316240</v>
      </c>
      <c r="J152" s="6">
        <v>269196.45</v>
      </c>
      <c r="K152" s="6">
        <v>47043.55</v>
      </c>
      <c r="L152" s="5"/>
    </row>
    <row r="153" spans="1:12" x14ac:dyDescent="0.3">
      <c r="A153" t="s">
        <v>182</v>
      </c>
      <c r="B153" s="8">
        <v>45660</v>
      </c>
      <c r="C153" t="s">
        <v>31</v>
      </c>
      <c r="D153" t="s">
        <v>28</v>
      </c>
      <c r="E153" t="s">
        <v>37</v>
      </c>
      <c r="F153" t="s">
        <v>22</v>
      </c>
      <c r="G153">
        <v>303</v>
      </c>
      <c r="H153" s="5">
        <v>1467</v>
      </c>
      <c r="I153" s="5">
        <v>444501</v>
      </c>
      <c r="J153" s="6">
        <v>300138.78000000003</v>
      </c>
      <c r="K153" s="6">
        <v>144362.22</v>
      </c>
      <c r="L153" s="5"/>
    </row>
    <row r="154" spans="1:12" x14ac:dyDescent="0.3">
      <c r="A154" t="s">
        <v>183</v>
      </c>
      <c r="B154" s="8">
        <v>45903</v>
      </c>
      <c r="C154" t="s">
        <v>17</v>
      </c>
      <c r="D154" t="s">
        <v>40</v>
      </c>
      <c r="E154" t="s">
        <v>41</v>
      </c>
      <c r="F154" t="s">
        <v>32</v>
      </c>
      <c r="G154">
        <v>76</v>
      </c>
      <c r="H154" s="5">
        <v>576</v>
      </c>
      <c r="I154" s="5">
        <v>43776</v>
      </c>
      <c r="J154" s="6">
        <v>35692.730000000003</v>
      </c>
      <c r="K154" s="6">
        <v>8083.27</v>
      </c>
      <c r="L154" s="5"/>
    </row>
    <row r="155" spans="1:12" x14ac:dyDescent="0.3">
      <c r="A155" t="s">
        <v>184</v>
      </c>
      <c r="B155" s="8">
        <v>45765</v>
      </c>
      <c r="C155" t="s">
        <v>17</v>
      </c>
      <c r="D155" t="s">
        <v>40</v>
      </c>
      <c r="E155" t="s">
        <v>41</v>
      </c>
      <c r="F155" t="s">
        <v>32</v>
      </c>
      <c r="G155">
        <v>304</v>
      </c>
      <c r="H155" s="5">
        <v>706</v>
      </c>
      <c r="I155" s="5">
        <v>214624</v>
      </c>
      <c r="J155" s="6">
        <v>189598.65</v>
      </c>
      <c r="K155" s="6">
        <v>25025.35</v>
      </c>
      <c r="L155" s="5"/>
    </row>
    <row r="156" spans="1:12" x14ac:dyDescent="0.3">
      <c r="A156" t="s">
        <v>185</v>
      </c>
      <c r="B156" s="8">
        <v>45835</v>
      </c>
      <c r="C156" t="s">
        <v>24</v>
      </c>
      <c r="D156" t="s">
        <v>28</v>
      </c>
      <c r="E156" t="s">
        <v>37</v>
      </c>
      <c r="F156" t="s">
        <v>32</v>
      </c>
      <c r="G156">
        <v>217</v>
      </c>
      <c r="H156" s="5">
        <v>1356</v>
      </c>
      <c r="I156" s="5">
        <v>294252</v>
      </c>
      <c r="J156" s="6">
        <v>252327.3</v>
      </c>
      <c r="K156" s="6">
        <v>41924.699999999997</v>
      </c>
      <c r="L156" s="5"/>
    </row>
    <row r="157" spans="1:12" x14ac:dyDescent="0.3">
      <c r="A157" t="s">
        <v>186</v>
      </c>
      <c r="B157" s="8">
        <v>45991</v>
      </c>
      <c r="C157" t="s">
        <v>24</v>
      </c>
      <c r="D157" t="s">
        <v>25</v>
      </c>
      <c r="E157" t="s">
        <v>26</v>
      </c>
      <c r="F157" t="s">
        <v>15</v>
      </c>
      <c r="G157">
        <v>124</v>
      </c>
      <c r="H157" s="5">
        <v>934</v>
      </c>
      <c r="I157" s="5">
        <v>115816</v>
      </c>
      <c r="J157" s="6">
        <v>93651.09</v>
      </c>
      <c r="K157" s="6">
        <v>22164.91</v>
      </c>
      <c r="L157" s="5"/>
    </row>
    <row r="158" spans="1:12" x14ac:dyDescent="0.3">
      <c r="A158" t="s">
        <v>187</v>
      </c>
      <c r="B158" s="8">
        <v>45925</v>
      </c>
      <c r="C158" t="s">
        <v>24</v>
      </c>
      <c r="D158" t="s">
        <v>28</v>
      </c>
      <c r="E158" t="s">
        <v>37</v>
      </c>
      <c r="F158" t="s">
        <v>32</v>
      </c>
      <c r="G158">
        <v>367</v>
      </c>
      <c r="H158" s="5">
        <v>933</v>
      </c>
      <c r="I158" s="5">
        <v>342411</v>
      </c>
      <c r="J158" s="6">
        <v>237927.09</v>
      </c>
      <c r="K158" s="6">
        <v>104483.91</v>
      </c>
      <c r="L158" s="5"/>
    </row>
    <row r="159" spans="1:12" x14ac:dyDescent="0.3">
      <c r="A159" t="s">
        <v>188</v>
      </c>
      <c r="B159" s="8">
        <v>45968</v>
      </c>
      <c r="C159" t="s">
        <v>31</v>
      </c>
      <c r="D159" t="s">
        <v>13</v>
      </c>
      <c r="E159" t="s">
        <v>18</v>
      </c>
      <c r="F159" t="s">
        <v>15</v>
      </c>
      <c r="G159">
        <v>307</v>
      </c>
      <c r="H159" s="5">
        <v>1127</v>
      </c>
      <c r="I159" s="5">
        <v>345989</v>
      </c>
      <c r="J159" s="6">
        <v>285159.18</v>
      </c>
      <c r="K159" s="6">
        <v>60829.82</v>
      </c>
      <c r="L159" s="5"/>
    </row>
    <row r="160" spans="1:12" x14ac:dyDescent="0.3">
      <c r="A160" t="s">
        <v>189</v>
      </c>
      <c r="B160" s="8">
        <v>45814</v>
      </c>
      <c r="C160" t="s">
        <v>31</v>
      </c>
      <c r="D160" t="s">
        <v>40</v>
      </c>
      <c r="E160" t="s">
        <v>41</v>
      </c>
      <c r="F160" t="s">
        <v>32</v>
      </c>
      <c r="G160">
        <v>254</v>
      </c>
      <c r="H160" s="5">
        <v>408</v>
      </c>
      <c r="I160" s="5">
        <v>103632</v>
      </c>
      <c r="J160" s="6">
        <v>79754.44</v>
      </c>
      <c r="K160" s="6">
        <v>23877.56</v>
      </c>
      <c r="L160" s="5"/>
    </row>
    <row r="161" spans="1:12" x14ac:dyDescent="0.3">
      <c r="A161" t="s">
        <v>190</v>
      </c>
      <c r="B161" s="8">
        <v>45969</v>
      </c>
      <c r="C161" t="s">
        <v>31</v>
      </c>
      <c r="D161" t="s">
        <v>40</v>
      </c>
      <c r="E161" t="s">
        <v>76</v>
      </c>
      <c r="F161" t="s">
        <v>32</v>
      </c>
      <c r="G161">
        <v>30</v>
      </c>
      <c r="H161" s="5">
        <v>376</v>
      </c>
      <c r="I161" s="5">
        <v>11280</v>
      </c>
      <c r="J161" s="6">
        <v>9928.33</v>
      </c>
      <c r="K161" s="6">
        <v>1351.67</v>
      </c>
      <c r="L161" s="5"/>
    </row>
    <row r="162" spans="1:12" x14ac:dyDescent="0.3">
      <c r="A162" t="s">
        <v>191</v>
      </c>
      <c r="B162" s="8">
        <v>45706</v>
      </c>
      <c r="C162" t="s">
        <v>24</v>
      </c>
      <c r="D162" t="s">
        <v>13</v>
      </c>
      <c r="E162" t="s">
        <v>20</v>
      </c>
      <c r="F162" t="s">
        <v>32</v>
      </c>
      <c r="G162">
        <v>123</v>
      </c>
      <c r="H162" s="5">
        <v>1346</v>
      </c>
      <c r="I162" s="5">
        <v>165558</v>
      </c>
      <c r="J162" s="6">
        <v>138947.47</v>
      </c>
      <c r="K162" s="6">
        <v>26610.53</v>
      </c>
      <c r="L162" s="5"/>
    </row>
    <row r="163" spans="1:12" x14ac:dyDescent="0.3">
      <c r="A163" t="s">
        <v>192</v>
      </c>
      <c r="B163" s="8">
        <v>45789</v>
      </c>
      <c r="C163" t="s">
        <v>24</v>
      </c>
      <c r="D163" t="s">
        <v>25</v>
      </c>
      <c r="E163" t="s">
        <v>26</v>
      </c>
      <c r="F163" t="s">
        <v>32</v>
      </c>
      <c r="G163">
        <v>468</v>
      </c>
      <c r="H163" s="5">
        <v>1016</v>
      </c>
      <c r="I163" s="5">
        <v>475488</v>
      </c>
      <c r="J163" s="6">
        <v>324434.28000000003</v>
      </c>
      <c r="K163" s="6">
        <v>151053.72</v>
      </c>
      <c r="L163" s="5"/>
    </row>
    <row r="164" spans="1:12" x14ac:dyDescent="0.3">
      <c r="A164" t="s">
        <v>193</v>
      </c>
      <c r="B164" s="8">
        <v>45880</v>
      </c>
      <c r="C164" t="s">
        <v>31</v>
      </c>
      <c r="D164" t="s">
        <v>28</v>
      </c>
      <c r="E164" t="s">
        <v>29</v>
      </c>
      <c r="F164" t="s">
        <v>32</v>
      </c>
      <c r="G164">
        <v>57</v>
      </c>
      <c r="H164" s="5">
        <v>543</v>
      </c>
      <c r="I164" s="5">
        <v>30951</v>
      </c>
      <c r="J164" s="6">
        <v>25822.68</v>
      </c>
      <c r="K164" s="6">
        <v>5128.32</v>
      </c>
      <c r="L164" s="5"/>
    </row>
    <row r="165" spans="1:12" x14ac:dyDescent="0.3">
      <c r="A165" t="s">
        <v>194</v>
      </c>
      <c r="B165" s="8">
        <v>45861</v>
      </c>
      <c r="C165" t="s">
        <v>31</v>
      </c>
      <c r="D165" t="s">
        <v>13</v>
      </c>
      <c r="E165" t="s">
        <v>20</v>
      </c>
      <c r="F165" t="s">
        <v>22</v>
      </c>
      <c r="G165">
        <v>187</v>
      </c>
      <c r="H165" s="5">
        <v>796</v>
      </c>
      <c r="I165" s="5">
        <v>148852</v>
      </c>
      <c r="J165" s="6">
        <v>103814.11</v>
      </c>
      <c r="K165" s="6">
        <v>45037.89</v>
      </c>
      <c r="L165" s="5"/>
    </row>
    <row r="166" spans="1:12" x14ac:dyDescent="0.3">
      <c r="A166" t="s">
        <v>195</v>
      </c>
      <c r="B166" s="8">
        <v>45732</v>
      </c>
      <c r="C166" t="s">
        <v>12</v>
      </c>
      <c r="D166" t="s">
        <v>25</v>
      </c>
      <c r="E166" t="s">
        <v>50</v>
      </c>
      <c r="F166" t="s">
        <v>32</v>
      </c>
      <c r="G166">
        <v>42</v>
      </c>
      <c r="H166" s="5">
        <v>1399</v>
      </c>
      <c r="I166" s="5">
        <v>58758</v>
      </c>
      <c r="J166" s="6">
        <v>50017.34</v>
      </c>
      <c r="K166" s="6">
        <v>8740.66</v>
      </c>
      <c r="L166" s="5"/>
    </row>
    <row r="167" spans="1:12" x14ac:dyDescent="0.3">
      <c r="A167" t="s">
        <v>196</v>
      </c>
      <c r="B167" s="8">
        <v>45940</v>
      </c>
      <c r="C167" t="s">
        <v>12</v>
      </c>
      <c r="D167" t="s">
        <v>40</v>
      </c>
      <c r="E167" t="s">
        <v>41</v>
      </c>
      <c r="F167" t="s">
        <v>15</v>
      </c>
      <c r="G167">
        <v>386</v>
      </c>
      <c r="H167" s="5">
        <v>1043</v>
      </c>
      <c r="I167" s="5">
        <v>402598</v>
      </c>
      <c r="J167" s="6">
        <v>360019.08</v>
      </c>
      <c r="K167" s="6">
        <v>42578.92</v>
      </c>
      <c r="L167" s="5"/>
    </row>
    <row r="168" spans="1:12" x14ac:dyDescent="0.3">
      <c r="A168" t="s">
        <v>197</v>
      </c>
      <c r="B168" s="8">
        <v>45936</v>
      </c>
      <c r="C168" t="s">
        <v>17</v>
      </c>
      <c r="D168" t="s">
        <v>40</v>
      </c>
      <c r="E168" t="s">
        <v>41</v>
      </c>
      <c r="F168" t="s">
        <v>22</v>
      </c>
      <c r="G168">
        <v>22</v>
      </c>
      <c r="H168" s="5">
        <v>1494</v>
      </c>
      <c r="I168" s="5">
        <v>32868</v>
      </c>
      <c r="J168" s="6">
        <v>29481.23</v>
      </c>
      <c r="K168" s="6">
        <v>3386.77</v>
      </c>
      <c r="L168" s="5"/>
    </row>
    <row r="169" spans="1:12" x14ac:dyDescent="0.3">
      <c r="A169" t="s">
        <v>198</v>
      </c>
      <c r="B169" s="8">
        <v>45931</v>
      </c>
      <c r="C169" t="s">
        <v>17</v>
      </c>
      <c r="D169" t="s">
        <v>40</v>
      </c>
      <c r="E169" t="s">
        <v>41</v>
      </c>
      <c r="F169" t="s">
        <v>15</v>
      </c>
      <c r="G169">
        <v>384</v>
      </c>
      <c r="H169" s="5">
        <v>1180</v>
      </c>
      <c r="I169" s="5">
        <v>453120</v>
      </c>
      <c r="J169" s="6">
        <v>309704.89</v>
      </c>
      <c r="K169" s="6">
        <v>143415.10999999999</v>
      </c>
      <c r="L169" s="5"/>
    </row>
    <row r="170" spans="1:12" x14ac:dyDescent="0.3">
      <c r="A170" t="s">
        <v>199</v>
      </c>
      <c r="B170" s="8">
        <v>45872</v>
      </c>
      <c r="C170" t="s">
        <v>31</v>
      </c>
      <c r="D170" t="s">
        <v>13</v>
      </c>
      <c r="E170" t="s">
        <v>18</v>
      </c>
      <c r="F170" t="s">
        <v>22</v>
      </c>
      <c r="G170">
        <v>379</v>
      </c>
      <c r="H170" s="5">
        <v>1322</v>
      </c>
      <c r="I170" s="5">
        <v>501038</v>
      </c>
      <c r="J170" s="6">
        <v>347936.52</v>
      </c>
      <c r="K170" s="6">
        <v>153101.48000000001</v>
      </c>
      <c r="L170" s="5"/>
    </row>
    <row r="171" spans="1:12" x14ac:dyDescent="0.3">
      <c r="A171" t="s">
        <v>200</v>
      </c>
      <c r="B171" s="8">
        <v>45779</v>
      </c>
      <c r="C171" t="s">
        <v>31</v>
      </c>
      <c r="D171" t="s">
        <v>13</v>
      </c>
      <c r="E171" t="s">
        <v>18</v>
      </c>
      <c r="F171" t="s">
        <v>15</v>
      </c>
      <c r="G171">
        <v>262</v>
      </c>
      <c r="H171" s="5">
        <v>569</v>
      </c>
      <c r="I171" s="5">
        <v>149078</v>
      </c>
      <c r="J171" s="6">
        <v>109734.6</v>
      </c>
      <c r="K171" s="6">
        <v>39343.4</v>
      </c>
      <c r="L171" s="5"/>
    </row>
    <row r="172" spans="1:12" x14ac:dyDescent="0.3">
      <c r="A172" t="s">
        <v>201</v>
      </c>
      <c r="B172" s="8">
        <v>45747</v>
      </c>
      <c r="C172" t="s">
        <v>31</v>
      </c>
      <c r="D172" t="s">
        <v>28</v>
      </c>
      <c r="E172" t="s">
        <v>29</v>
      </c>
      <c r="F172" t="s">
        <v>22</v>
      </c>
      <c r="G172">
        <v>329</v>
      </c>
      <c r="H172" s="5">
        <v>945</v>
      </c>
      <c r="I172" s="5">
        <v>310905</v>
      </c>
      <c r="J172" s="6">
        <v>235719.27</v>
      </c>
      <c r="K172" s="6">
        <v>75185.73</v>
      </c>
      <c r="L172" s="5"/>
    </row>
    <row r="173" spans="1:12" x14ac:dyDescent="0.3">
      <c r="A173" t="s">
        <v>202</v>
      </c>
      <c r="B173" s="8">
        <v>45867</v>
      </c>
      <c r="C173" t="s">
        <v>17</v>
      </c>
      <c r="D173" t="s">
        <v>25</v>
      </c>
      <c r="E173" t="s">
        <v>50</v>
      </c>
      <c r="F173" t="s">
        <v>15</v>
      </c>
      <c r="G173">
        <v>106</v>
      </c>
      <c r="H173" s="5">
        <v>1297</v>
      </c>
      <c r="I173" s="5">
        <v>137482</v>
      </c>
      <c r="J173" s="6">
        <v>103462.68</v>
      </c>
      <c r="K173" s="6">
        <v>34019.32</v>
      </c>
      <c r="L173" s="5"/>
    </row>
    <row r="174" spans="1:12" x14ac:dyDescent="0.3">
      <c r="A174" t="s">
        <v>203</v>
      </c>
      <c r="B174" s="8">
        <v>45780</v>
      </c>
      <c r="C174" t="s">
        <v>24</v>
      </c>
      <c r="D174" t="s">
        <v>25</v>
      </c>
      <c r="E174" t="s">
        <v>26</v>
      </c>
      <c r="F174" t="s">
        <v>15</v>
      </c>
      <c r="G174">
        <v>223</v>
      </c>
      <c r="H174" s="5">
        <v>887</v>
      </c>
      <c r="I174" s="5">
        <v>197801</v>
      </c>
      <c r="J174" s="6">
        <v>139784.66</v>
      </c>
      <c r="K174" s="6">
        <v>58016.34</v>
      </c>
      <c r="L174" s="5"/>
    </row>
    <row r="175" spans="1:12" x14ac:dyDescent="0.3">
      <c r="A175" t="s">
        <v>204</v>
      </c>
      <c r="B175" s="8">
        <v>45925</v>
      </c>
      <c r="C175" t="s">
        <v>31</v>
      </c>
      <c r="D175" t="s">
        <v>40</v>
      </c>
      <c r="E175" t="s">
        <v>76</v>
      </c>
      <c r="F175" t="s">
        <v>15</v>
      </c>
      <c r="G175">
        <v>373</v>
      </c>
      <c r="H175" s="5">
        <v>1349</v>
      </c>
      <c r="I175" s="5">
        <v>503177</v>
      </c>
      <c r="J175" s="6">
        <v>421561.33</v>
      </c>
      <c r="K175" s="6">
        <v>81615.67</v>
      </c>
      <c r="L175" s="5"/>
    </row>
    <row r="176" spans="1:12" x14ac:dyDescent="0.3">
      <c r="A176" t="s">
        <v>205</v>
      </c>
      <c r="B176" s="8">
        <v>45729</v>
      </c>
      <c r="C176" t="s">
        <v>31</v>
      </c>
      <c r="D176" t="s">
        <v>13</v>
      </c>
      <c r="E176" t="s">
        <v>20</v>
      </c>
      <c r="F176" t="s">
        <v>22</v>
      </c>
      <c r="G176">
        <v>256</v>
      </c>
      <c r="H176" s="5">
        <v>1421</v>
      </c>
      <c r="I176" s="5">
        <v>363776</v>
      </c>
      <c r="J176" s="6">
        <v>246378.15</v>
      </c>
      <c r="K176" s="6">
        <v>117397.85</v>
      </c>
      <c r="L176" s="5"/>
    </row>
    <row r="177" spans="1:12" x14ac:dyDescent="0.3">
      <c r="A177" t="s">
        <v>206</v>
      </c>
      <c r="B177" s="8">
        <v>45914</v>
      </c>
      <c r="C177" t="s">
        <v>17</v>
      </c>
      <c r="D177" t="s">
        <v>28</v>
      </c>
      <c r="E177" t="s">
        <v>29</v>
      </c>
      <c r="F177" t="s">
        <v>15</v>
      </c>
      <c r="G177">
        <v>41</v>
      </c>
      <c r="H177" s="5">
        <v>681</v>
      </c>
      <c r="I177" s="5">
        <v>27921</v>
      </c>
      <c r="J177" s="6">
        <v>18303.099999999999</v>
      </c>
      <c r="K177" s="6">
        <v>9617.9</v>
      </c>
      <c r="L177" s="5"/>
    </row>
    <row r="178" spans="1:12" x14ac:dyDescent="0.3">
      <c r="A178" t="s">
        <v>207</v>
      </c>
      <c r="B178" s="8">
        <v>45824</v>
      </c>
      <c r="C178" t="s">
        <v>12</v>
      </c>
      <c r="D178" t="s">
        <v>13</v>
      </c>
      <c r="E178" t="s">
        <v>18</v>
      </c>
      <c r="F178" t="s">
        <v>22</v>
      </c>
      <c r="G178">
        <v>252</v>
      </c>
      <c r="H178" s="5">
        <v>1257</v>
      </c>
      <c r="I178" s="5">
        <v>316764</v>
      </c>
      <c r="J178" s="6">
        <v>211066.76</v>
      </c>
      <c r="K178" s="6">
        <v>105697.24</v>
      </c>
      <c r="L178" s="5"/>
    </row>
    <row r="179" spans="1:12" x14ac:dyDescent="0.3">
      <c r="A179" t="s">
        <v>208</v>
      </c>
      <c r="B179" s="8">
        <v>45864</v>
      </c>
      <c r="C179" t="s">
        <v>12</v>
      </c>
      <c r="D179" t="s">
        <v>40</v>
      </c>
      <c r="E179" t="s">
        <v>76</v>
      </c>
      <c r="F179" t="s">
        <v>15</v>
      </c>
      <c r="G179">
        <v>264</v>
      </c>
      <c r="H179" s="5">
        <v>481</v>
      </c>
      <c r="I179" s="5">
        <v>126984</v>
      </c>
      <c r="J179" s="6">
        <v>103362.3</v>
      </c>
      <c r="K179" s="6">
        <v>23621.7</v>
      </c>
      <c r="L179" s="5"/>
    </row>
    <row r="180" spans="1:12" x14ac:dyDescent="0.3">
      <c r="A180" t="s">
        <v>209</v>
      </c>
      <c r="B180" s="8">
        <v>45824</v>
      </c>
      <c r="C180" t="s">
        <v>24</v>
      </c>
      <c r="D180" t="s">
        <v>13</v>
      </c>
      <c r="E180" t="s">
        <v>14</v>
      </c>
      <c r="F180" t="s">
        <v>22</v>
      </c>
      <c r="G180">
        <v>446</v>
      </c>
      <c r="H180" s="5">
        <v>1148</v>
      </c>
      <c r="I180" s="5">
        <v>512008</v>
      </c>
      <c r="J180" s="6">
        <v>439175.54</v>
      </c>
      <c r="K180" s="6">
        <v>72832.460000000006</v>
      </c>
      <c r="L180" s="5"/>
    </row>
    <row r="181" spans="1:12" x14ac:dyDescent="0.3">
      <c r="A181" t="s">
        <v>210</v>
      </c>
      <c r="B181" s="8">
        <v>46013</v>
      </c>
      <c r="C181" t="s">
        <v>12</v>
      </c>
      <c r="D181" t="s">
        <v>40</v>
      </c>
      <c r="E181" t="s">
        <v>41</v>
      </c>
      <c r="F181" t="s">
        <v>15</v>
      </c>
      <c r="G181">
        <v>288</v>
      </c>
      <c r="H181" s="5">
        <v>441</v>
      </c>
      <c r="I181" s="5">
        <v>127008</v>
      </c>
      <c r="J181" s="6">
        <v>103344.57</v>
      </c>
      <c r="K181" s="6">
        <v>23663.43</v>
      </c>
      <c r="L181" s="5"/>
    </row>
    <row r="182" spans="1:12" x14ac:dyDescent="0.3">
      <c r="A182" t="s">
        <v>211</v>
      </c>
      <c r="B182" s="8">
        <v>45670</v>
      </c>
      <c r="C182" t="s">
        <v>24</v>
      </c>
      <c r="D182" t="s">
        <v>25</v>
      </c>
      <c r="E182" t="s">
        <v>50</v>
      </c>
      <c r="F182" t="s">
        <v>15</v>
      </c>
      <c r="G182">
        <v>40</v>
      </c>
      <c r="H182" s="5">
        <v>657</v>
      </c>
      <c r="I182" s="5">
        <v>26280</v>
      </c>
      <c r="J182" s="6">
        <v>21289.66</v>
      </c>
      <c r="K182" s="6">
        <v>4990.34</v>
      </c>
      <c r="L182" s="5"/>
    </row>
    <row r="183" spans="1:12" x14ac:dyDescent="0.3">
      <c r="A183" t="s">
        <v>212</v>
      </c>
      <c r="B183" s="8">
        <v>45700</v>
      </c>
      <c r="C183" t="s">
        <v>24</v>
      </c>
      <c r="D183" t="s">
        <v>28</v>
      </c>
      <c r="E183" t="s">
        <v>37</v>
      </c>
      <c r="F183" t="s">
        <v>32</v>
      </c>
      <c r="G183">
        <v>500</v>
      </c>
      <c r="H183" s="5">
        <v>551</v>
      </c>
      <c r="I183" s="5">
        <v>275500</v>
      </c>
      <c r="J183" s="6">
        <v>239292.67</v>
      </c>
      <c r="K183" s="6">
        <v>36207.33</v>
      </c>
      <c r="L183" s="5"/>
    </row>
    <row r="184" spans="1:12" x14ac:dyDescent="0.3">
      <c r="A184" t="s">
        <v>213</v>
      </c>
      <c r="B184" s="8">
        <v>45971</v>
      </c>
      <c r="C184" t="s">
        <v>12</v>
      </c>
      <c r="D184" t="s">
        <v>28</v>
      </c>
      <c r="E184" t="s">
        <v>37</v>
      </c>
      <c r="F184" t="s">
        <v>22</v>
      </c>
      <c r="G184">
        <v>200</v>
      </c>
      <c r="H184" s="5">
        <v>931</v>
      </c>
      <c r="I184" s="5">
        <v>186200</v>
      </c>
      <c r="J184" s="6">
        <v>137473.57</v>
      </c>
      <c r="K184" s="6">
        <v>48726.43</v>
      </c>
      <c r="L184" s="5"/>
    </row>
    <row r="185" spans="1:12" x14ac:dyDescent="0.3">
      <c r="A185" t="s">
        <v>214</v>
      </c>
      <c r="B185" s="8">
        <v>45693</v>
      </c>
      <c r="C185" t="s">
        <v>12</v>
      </c>
      <c r="D185" t="s">
        <v>13</v>
      </c>
      <c r="E185" t="s">
        <v>18</v>
      </c>
      <c r="F185" t="s">
        <v>32</v>
      </c>
      <c r="G185">
        <v>412</v>
      </c>
      <c r="H185" s="5">
        <v>709</v>
      </c>
      <c r="I185" s="5">
        <v>292108</v>
      </c>
      <c r="J185" s="6">
        <v>232915.45</v>
      </c>
      <c r="K185" s="6">
        <v>59192.55</v>
      </c>
      <c r="L185" s="5"/>
    </row>
    <row r="186" spans="1:12" x14ac:dyDescent="0.3">
      <c r="A186" t="s">
        <v>215</v>
      </c>
      <c r="B186" s="8">
        <v>45925</v>
      </c>
      <c r="C186" t="s">
        <v>31</v>
      </c>
      <c r="D186" t="s">
        <v>25</v>
      </c>
      <c r="E186" t="s">
        <v>50</v>
      </c>
      <c r="F186" t="s">
        <v>15</v>
      </c>
      <c r="G186">
        <v>172</v>
      </c>
      <c r="H186" s="5">
        <v>882</v>
      </c>
      <c r="I186" s="5">
        <v>151704</v>
      </c>
      <c r="J186" s="6">
        <v>109174.16</v>
      </c>
      <c r="K186" s="6">
        <v>42529.84</v>
      </c>
      <c r="L186" s="5"/>
    </row>
    <row r="187" spans="1:12" x14ac:dyDescent="0.3">
      <c r="A187" t="s">
        <v>216</v>
      </c>
      <c r="B187" s="8">
        <v>45719</v>
      </c>
      <c r="C187" t="s">
        <v>12</v>
      </c>
      <c r="D187" t="s">
        <v>40</v>
      </c>
      <c r="E187" t="s">
        <v>76</v>
      </c>
      <c r="F187" t="s">
        <v>15</v>
      </c>
      <c r="G187">
        <v>382</v>
      </c>
      <c r="H187" s="5">
        <v>739</v>
      </c>
      <c r="I187" s="5">
        <v>282298</v>
      </c>
      <c r="J187" s="6">
        <v>229878.42</v>
      </c>
      <c r="K187" s="6">
        <v>52419.58</v>
      </c>
      <c r="L187" s="5"/>
    </row>
    <row r="188" spans="1:12" x14ac:dyDescent="0.3">
      <c r="A188" t="s">
        <v>217</v>
      </c>
      <c r="B188" s="8">
        <v>45664</v>
      </c>
      <c r="C188" t="s">
        <v>31</v>
      </c>
      <c r="D188" t="s">
        <v>25</v>
      </c>
      <c r="E188" t="s">
        <v>26</v>
      </c>
      <c r="F188" t="s">
        <v>32</v>
      </c>
      <c r="G188">
        <v>33</v>
      </c>
      <c r="H188" s="5">
        <v>503</v>
      </c>
      <c r="I188" s="5">
        <v>16599</v>
      </c>
      <c r="J188" s="6">
        <v>11436.91</v>
      </c>
      <c r="K188" s="6">
        <v>5162.09</v>
      </c>
      <c r="L188" s="5"/>
    </row>
    <row r="189" spans="1:12" x14ac:dyDescent="0.3">
      <c r="A189" t="s">
        <v>218</v>
      </c>
      <c r="B189" s="8">
        <v>45703</v>
      </c>
      <c r="C189" t="s">
        <v>31</v>
      </c>
      <c r="D189" t="s">
        <v>25</v>
      </c>
      <c r="E189" t="s">
        <v>50</v>
      </c>
      <c r="F189" t="s">
        <v>15</v>
      </c>
      <c r="G189">
        <v>130</v>
      </c>
      <c r="H189" s="5">
        <v>1198</v>
      </c>
      <c r="I189" s="5">
        <v>155740</v>
      </c>
      <c r="J189" s="6">
        <v>114291.83</v>
      </c>
      <c r="K189" s="6">
        <v>41448.17</v>
      </c>
      <c r="L189" s="5"/>
    </row>
    <row r="190" spans="1:12" x14ac:dyDescent="0.3">
      <c r="A190" t="s">
        <v>219</v>
      </c>
      <c r="B190" s="8">
        <v>45830</v>
      </c>
      <c r="C190" t="s">
        <v>12</v>
      </c>
      <c r="D190" t="s">
        <v>40</v>
      </c>
      <c r="E190" t="s">
        <v>76</v>
      </c>
      <c r="F190" t="s">
        <v>32</v>
      </c>
      <c r="G190">
        <v>174</v>
      </c>
      <c r="H190" s="5">
        <v>422</v>
      </c>
      <c r="I190" s="5">
        <v>73428</v>
      </c>
      <c r="J190" s="6">
        <v>61854.6</v>
      </c>
      <c r="K190" s="6">
        <v>11573.4</v>
      </c>
      <c r="L190" s="5"/>
    </row>
    <row r="191" spans="1:12" x14ac:dyDescent="0.3">
      <c r="A191" t="s">
        <v>220</v>
      </c>
      <c r="B191" s="8">
        <v>45891</v>
      </c>
      <c r="C191" t="s">
        <v>17</v>
      </c>
      <c r="D191" t="s">
        <v>40</v>
      </c>
      <c r="E191" t="s">
        <v>41</v>
      </c>
      <c r="F191" t="s">
        <v>22</v>
      </c>
      <c r="G191">
        <v>278</v>
      </c>
      <c r="H191" s="5">
        <v>600</v>
      </c>
      <c r="I191" s="5">
        <v>166800</v>
      </c>
      <c r="J191" s="6">
        <v>128876.56</v>
      </c>
      <c r="K191" s="6">
        <v>37923.440000000002</v>
      </c>
      <c r="L191" s="5"/>
    </row>
    <row r="192" spans="1:12" x14ac:dyDescent="0.3">
      <c r="A192" t="s">
        <v>221</v>
      </c>
      <c r="B192" s="8">
        <v>45848</v>
      </c>
      <c r="C192" t="s">
        <v>17</v>
      </c>
      <c r="D192" t="s">
        <v>40</v>
      </c>
      <c r="E192" t="s">
        <v>41</v>
      </c>
      <c r="F192" t="s">
        <v>22</v>
      </c>
      <c r="G192">
        <v>169</v>
      </c>
      <c r="H192" s="5">
        <v>910</v>
      </c>
      <c r="I192" s="5">
        <v>153790</v>
      </c>
      <c r="J192" s="6">
        <v>120388.89</v>
      </c>
      <c r="K192" s="6">
        <v>33401.11</v>
      </c>
      <c r="L192" s="5"/>
    </row>
    <row r="193" spans="1:12" x14ac:dyDescent="0.3">
      <c r="A193" t="s">
        <v>222</v>
      </c>
      <c r="B193" s="8">
        <v>45881</v>
      </c>
      <c r="C193" t="s">
        <v>31</v>
      </c>
      <c r="D193" t="s">
        <v>28</v>
      </c>
      <c r="E193" t="s">
        <v>29</v>
      </c>
      <c r="F193" t="s">
        <v>22</v>
      </c>
      <c r="G193">
        <v>212</v>
      </c>
      <c r="H193" s="5">
        <v>709</v>
      </c>
      <c r="I193" s="5">
        <v>150308</v>
      </c>
      <c r="J193" s="6">
        <v>111877.58</v>
      </c>
      <c r="K193" s="6">
        <v>38430.42</v>
      </c>
      <c r="L193" s="5"/>
    </row>
    <row r="194" spans="1:12" x14ac:dyDescent="0.3">
      <c r="A194" t="s">
        <v>223</v>
      </c>
      <c r="B194" s="8">
        <v>45865</v>
      </c>
      <c r="C194" t="s">
        <v>31</v>
      </c>
      <c r="D194" t="s">
        <v>40</v>
      </c>
      <c r="E194" t="s">
        <v>41</v>
      </c>
      <c r="F194" t="s">
        <v>32</v>
      </c>
      <c r="G194">
        <v>497</v>
      </c>
      <c r="H194" s="5">
        <v>443</v>
      </c>
      <c r="I194" s="5">
        <v>220171</v>
      </c>
      <c r="J194" s="6">
        <v>195992.73</v>
      </c>
      <c r="K194" s="6">
        <v>24178.27</v>
      </c>
      <c r="L194" s="5"/>
    </row>
    <row r="195" spans="1:12" x14ac:dyDescent="0.3">
      <c r="A195" t="s">
        <v>224</v>
      </c>
      <c r="B195" s="8">
        <v>45729</v>
      </c>
      <c r="C195" t="s">
        <v>24</v>
      </c>
      <c r="D195" t="s">
        <v>25</v>
      </c>
      <c r="E195" t="s">
        <v>26</v>
      </c>
      <c r="F195" t="s">
        <v>22</v>
      </c>
      <c r="G195">
        <v>66</v>
      </c>
      <c r="H195" s="5">
        <v>385</v>
      </c>
      <c r="I195" s="5">
        <v>25410</v>
      </c>
      <c r="J195" s="6">
        <v>19298.830000000002</v>
      </c>
      <c r="K195" s="6">
        <v>6111.17</v>
      </c>
      <c r="L195" s="5"/>
    </row>
    <row r="196" spans="1:12" x14ac:dyDescent="0.3">
      <c r="A196" t="s">
        <v>225</v>
      </c>
      <c r="B196" s="8">
        <v>45839</v>
      </c>
      <c r="C196" t="s">
        <v>12</v>
      </c>
      <c r="D196" t="s">
        <v>25</v>
      </c>
      <c r="E196" t="s">
        <v>50</v>
      </c>
      <c r="F196" t="s">
        <v>15</v>
      </c>
      <c r="G196">
        <v>168</v>
      </c>
      <c r="H196" s="5">
        <v>1361</v>
      </c>
      <c r="I196" s="5">
        <v>228648</v>
      </c>
      <c r="J196" s="6">
        <v>205434.81</v>
      </c>
      <c r="K196" s="6">
        <v>23213.19</v>
      </c>
      <c r="L196" s="5"/>
    </row>
    <row r="197" spans="1:12" x14ac:dyDescent="0.3">
      <c r="A197" t="s">
        <v>226</v>
      </c>
      <c r="B197" s="8">
        <v>45711</v>
      </c>
      <c r="C197" t="s">
        <v>12</v>
      </c>
      <c r="D197" t="s">
        <v>13</v>
      </c>
      <c r="E197" t="s">
        <v>14</v>
      </c>
      <c r="F197" t="s">
        <v>32</v>
      </c>
      <c r="G197">
        <v>412</v>
      </c>
      <c r="H197" s="5">
        <v>1119</v>
      </c>
      <c r="I197" s="5">
        <v>461028</v>
      </c>
      <c r="J197" s="6">
        <v>385128.5</v>
      </c>
      <c r="K197" s="6">
        <v>75899.5</v>
      </c>
      <c r="L197" s="5"/>
    </row>
    <row r="198" spans="1:12" x14ac:dyDescent="0.3">
      <c r="A198" t="s">
        <v>227</v>
      </c>
      <c r="B198" s="8">
        <v>45909</v>
      </c>
      <c r="C198" t="s">
        <v>24</v>
      </c>
      <c r="D198" t="s">
        <v>40</v>
      </c>
      <c r="E198" t="s">
        <v>76</v>
      </c>
      <c r="F198" t="s">
        <v>22</v>
      </c>
      <c r="G198">
        <v>428</v>
      </c>
      <c r="H198" s="5">
        <v>529</v>
      </c>
      <c r="I198" s="5">
        <v>226412</v>
      </c>
      <c r="J198" s="6">
        <v>166554.98000000001</v>
      </c>
      <c r="K198" s="6">
        <v>59857.02</v>
      </c>
      <c r="L198" s="5"/>
    </row>
    <row r="199" spans="1:12" x14ac:dyDescent="0.3">
      <c r="A199" t="s">
        <v>228</v>
      </c>
      <c r="B199" s="8">
        <v>45873</v>
      </c>
      <c r="C199" t="s">
        <v>17</v>
      </c>
      <c r="D199" t="s">
        <v>13</v>
      </c>
      <c r="E199" t="s">
        <v>18</v>
      </c>
      <c r="F199" t="s">
        <v>22</v>
      </c>
      <c r="G199">
        <v>255</v>
      </c>
      <c r="H199" s="5">
        <v>647</v>
      </c>
      <c r="I199" s="5">
        <v>164985</v>
      </c>
      <c r="J199" s="6">
        <v>110102.63</v>
      </c>
      <c r="K199" s="6">
        <v>54882.37</v>
      </c>
      <c r="L199" s="5"/>
    </row>
    <row r="200" spans="1:12" x14ac:dyDescent="0.3">
      <c r="A200" t="s">
        <v>229</v>
      </c>
      <c r="B200" s="8">
        <v>45682</v>
      </c>
      <c r="C200" t="s">
        <v>12</v>
      </c>
      <c r="D200" t="s">
        <v>13</v>
      </c>
      <c r="E200" t="s">
        <v>14</v>
      </c>
      <c r="F200" t="s">
        <v>22</v>
      </c>
      <c r="G200">
        <v>367</v>
      </c>
      <c r="H200" s="5">
        <v>1081</v>
      </c>
      <c r="I200" s="5">
        <v>396727</v>
      </c>
      <c r="J200" s="6">
        <v>300308.65000000002</v>
      </c>
      <c r="K200" s="6">
        <v>96418.35</v>
      </c>
      <c r="L200" s="5"/>
    </row>
    <row r="201" spans="1:12" x14ac:dyDescent="0.3">
      <c r="A201" t="s">
        <v>230</v>
      </c>
      <c r="B201" s="8">
        <v>45766</v>
      </c>
      <c r="C201" t="s">
        <v>17</v>
      </c>
      <c r="D201" t="s">
        <v>28</v>
      </c>
      <c r="E201" t="s">
        <v>37</v>
      </c>
      <c r="F201" t="s">
        <v>15</v>
      </c>
      <c r="G201">
        <v>438</v>
      </c>
      <c r="H201" s="5">
        <v>1151</v>
      </c>
      <c r="I201" s="5">
        <v>504138</v>
      </c>
      <c r="J201" s="6">
        <v>411621.31</v>
      </c>
      <c r="K201" s="6">
        <v>92516.69</v>
      </c>
      <c r="L201" s="5"/>
    </row>
    <row r="202" spans="1:12" x14ac:dyDescent="0.3">
      <c r="A202" t="s">
        <v>231</v>
      </c>
      <c r="B202" s="8">
        <v>45968</v>
      </c>
      <c r="C202" t="s">
        <v>17</v>
      </c>
      <c r="D202" t="s">
        <v>40</v>
      </c>
      <c r="E202" t="s">
        <v>41</v>
      </c>
      <c r="F202" t="s">
        <v>32</v>
      </c>
      <c r="G202">
        <v>311</v>
      </c>
      <c r="H202" s="5">
        <v>838</v>
      </c>
      <c r="I202" s="5">
        <v>260618</v>
      </c>
      <c r="J202" s="6">
        <v>180563.61</v>
      </c>
      <c r="K202" s="6">
        <v>80054.39</v>
      </c>
      <c r="L202" s="5"/>
    </row>
    <row r="203" spans="1:12" x14ac:dyDescent="0.3">
      <c r="A203" t="s">
        <v>232</v>
      </c>
      <c r="B203" s="8">
        <v>45863</v>
      </c>
      <c r="C203" t="s">
        <v>12</v>
      </c>
      <c r="D203" t="s">
        <v>28</v>
      </c>
      <c r="E203" t="s">
        <v>29</v>
      </c>
      <c r="F203" t="s">
        <v>22</v>
      </c>
      <c r="G203">
        <v>300</v>
      </c>
      <c r="H203" s="5">
        <v>1310</v>
      </c>
      <c r="I203" s="5">
        <v>393000</v>
      </c>
      <c r="J203" s="6">
        <v>297974.75</v>
      </c>
      <c r="K203" s="6">
        <v>95025.25</v>
      </c>
      <c r="L203" s="5"/>
    </row>
    <row r="204" spans="1:12" x14ac:dyDescent="0.3">
      <c r="A204" t="s">
        <v>233</v>
      </c>
      <c r="B204" s="8">
        <v>45883</v>
      </c>
      <c r="C204" t="s">
        <v>31</v>
      </c>
      <c r="D204" t="s">
        <v>25</v>
      </c>
      <c r="E204" t="s">
        <v>50</v>
      </c>
      <c r="F204" t="s">
        <v>22</v>
      </c>
      <c r="G204">
        <v>325</v>
      </c>
      <c r="H204" s="5">
        <v>623</v>
      </c>
      <c r="I204" s="5">
        <v>202475</v>
      </c>
      <c r="J204" s="6">
        <v>167865.68</v>
      </c>
      <c r="K204" s="6">
        <v>34609.32</v>
      </c>
      <c r="L204" s="5"/>
    </row>
    <row r="205" spans="1:12" x14ac:dyDescent="0.3">
      <c r="A205" t="s">
        <v>234</v>
      </c>
      <c r="B205" s="8">
        <v>45937</v>
      </c>
      <c r="C205" t="s">
        <v>31</v>
      </c>
      <c r="D205" t="s">
        <v>28</v>
      </c>
      <c r="E205" t="s">
        <v>37</v>
      </c>
      <c r="F205" t="s">
        <v>32</v>
      </c>
      <c r="G205">
        <v>77</v>
      </c>
      <c r="H205" s="5">
        <v>739</v>
      </c>
      <c r="I205" s="5">
        <v>56903</v>
      </c>
      <c r="J205" s="6">
        <v>44160.65</v>
      </c>
      <c r="K205" s="6">
        <v>12742.35</v>
      </c>
      <c r="L205" s="5"/>
    </row>
    <row r="206" spans="1:12" x14ac:dyDescent="0.3">
      <c r="A206" t="s">
        <v>235</v>
      </c>
      <c r="B206" s="8">
        <v>45829</v>
      </c>
      <c r="C206" t="s">
        <v>17</v>
      </c>
      <c r="D206" t="s">
        <v>40</v>
      </c>
      <c r="E206" t="s">
        <v>41</v>
      </c>
      <c r="F206" t="s">
        <v>15</v>
      </c>
      <c r="G206">
        <v>324</v>
      </c>
      <c r="H206" s="5">
        <v>984</v>
      </c>
      <c r="I206" s="5">
        <v>318816</v>
      </c>
      <c r="J206" s="6">
        <v>258467.96</v>
      </c>
      <c r="K206" s="6">
        <v>60348.04</v>
      </c>
      <c r="L206" s="5"/>
    </row>
    <row r="207" spans="1:12" x14ac:dyDescent="0.3">
      <c r="A207" t="s">
        <v>236</v>
      </c>
      <c r="B207" s="8">
        <v>45896</v>
      </c>
      <c r="C207" t="s">
        <v>31</v>
      </c>
      <c r="D207" t="s">
        <v>13</v>
      </c>
      <c r="E207" t="s">
        <v>20</v>
      </c>
      <c r="F207" t="s">
        <v>32</v>
      </c>
      <c r="G207">
        <v>94</v>
      </c>
      <c r="H207" s="5">
        <v>1420</v>
      </c>
      <c r="I207" s="5">
        <v>133480</v>
      </c>
      <c r="J207" s="6">
        <v>114843.52</v>
      </c>
      <c r="K207" s="6">
        <v>18636.48</v>
      </c>
      <c r="L207" s="5"/>
    </row>
    <row r="208" spans="1:12" x14ac:dyDescent="0.3">
      <c r="A208" t="s">
        <v>237</v>
      </c>
      <c r="B208" s="8">
        <v>45956</v>
      </c>
      <c r="C208" t="s">
        <v>17</v>
      </c>
      <c r="D208" t="s">
        <v>28</v>
      </c>
      <c r="E208" t="s">
        <v>37</v>
      </c>
      <c r="F208" t="s">
        <v>15</v>
      </c>
      <c r="G208">
        <v>415</v>
      </c>
      <c r="H208" s="5">
        <v>634</v>
      </c>
      <c r="I208" s="5">
        <v>263110</v>
      </c>
      <c r="J208" s="6">
        <v>210672.77</v>
      </c>
      <c r="K208" s="6">
        <v>52437.23</v>
      </c>
      <c r="L208" s="5"/>
    </row>
    <row r="209" spans="1:12" x14ac:dyDescent="0.3">
      <c r="A209" t="s">
        <v>238</v>
      </c>
      <c r="B209" s="8">
        <v>45770</v>
      </c>
      <c r="C209" t="s">
        <v>17</v>
      </c>
      <c r="D209" t="s">
        <v>25</v>
      </c>
      <c r="E209" t="s">
        <v>26</v>
      </c>
      <c r="F209" t="s">
        <v>15</v>
      </c>
      <c r="G209">
        <v>349</v>
      </c>
      <c r="H209" s="5">
        <v>1015</v>
      </c>
      <c r="I209" s="5">
        <v>354235</v>
      </c>
      <c r="J209" s="6">
        <v>238616.01</v>
      </c>
      <c r="K209" s="6">
        <v>115618.99</v>
      </c>
      <c r="L209" s="5"/>
    </row>
    <row r="210" spans="1:12" x14ac:dyDescent="0.3">
      <c r="A210" t="s">
        <v>239</v>
      </c>
      <c r="B210" s="8">
        <v>45967</v>
      </c>
      <c r="C210" t="s">
        <v>24</v>
      </c>
      <c r="D210" t="s">
        <v>28</v>
      </c>
      <c r="E210" t="s">
        <v>37</v>
      </c>
      <c r="F210" t="s">
        <v>15</v>
      </c>
      <c r="G210">
        <v>199</v>
      </c>
      <c r="H210" s="5">
        <v>914</v>
      </c>
      <c r="I210" s="5">
        <v>181886</v>
      </c>
      <c r="J210" s="6">
        <v>119925.93</v>
      </c>
      <c r="K210" s="6">
        <v>61960.07</v>
      </c>
      <c r="L210" s="5"/>
    </row>
    <row r="211" spans="1:12" x14ac:dyDescent="0.3">
      <c r="A211" t="s">
        <v>240</v>
      </c>
      <c r="B211" s="8">
        <v>45737</v>
      </c>
      <c r="C211" t="s">
        <v>12</v>
      </c>
      <c r="D211" t="s">
        <v>25</v>
      </c>
      <c r="E211" t="s">
        <v>26</v>
      </c>
      <c r="F211" t="s">
        <v>22</v>
      </c>
      <c r="G211">
        <v>284</v>
      </c>
      <c r="H211" s="5">
        <v>838</v>
      </c>
      <c r="I211" s="5">
        <v>237992</v>
      </c>
      <c r="J211" s="6">
        <v>181877.41</v>
      </c>
      <c r="K211" s="6">
        <v>56114.59</v>
      </c>
      <c r="L211" s="5"/>
    </row>
    <row r="212" spans="1:12" x14ac:dyDescent="0.3">
      <c r="A212" t="s">
        <v>241</v>
      </c>
      <c r="B212" s="8">
        <v>45914</v>
      </c>
      <c r="C212" t="s">
        <v>12</v>
      </c>
      <c r="D212" t="s">
        <v>40</v>
      </c>
      <c r="E212" t="s">
        <v>76</v>
      </c>
      <c r="F212" t="s">
        <v>15</v>
      </c>
      <c r="G212">
        <v>104</v>
      </c>
      <c r="H212" s="5">
        <v>805</v>
      </c>
      <c r="I212" s="5">
        <v>83720</v>
      </c>
      <c r="J212" s="6">
        <v>66066.86</v>
      </c>
      <c r="K212" s="6">
        <v>17653.14</v>
      </c>
      <c r="L212" s="5"/>
    </row>
    <row r="213" spans="1:12" x14ac:dyDescent="0.3">
      <c r="A213" t="s">
        <v>242</v>
      </c>
      <c r="B213" s="8">
        <v>45824</v>
      </c>
      <c r="C213" t="s">
        <v>31</v>
      </c>
      <c r="D213" t="s">
        <v>40</v>
      </c>
      <c r="E213" t="s">
        <v>41</v>
      </c>
      <c r="F213" t="s">
        <v>32</v>
      </c>
      <c r="G213">
        <v>200</v>
      </c>
      <c r="H213" s="5">
        <v>1500</v>
      </c>
      <c r="I213" s="5">
        <v>300000</v>
      </c>
      <c r="J213" s="6">
        <v>246698.78</v>
      </c>
      <c r="K213" s="6">
        <v>53301.22</v>
      </c>
      <c r="L213" s="5"/>
    </row>
    <row r="214" spans="1:12" x14ac:dyDescent="0.3">
      <c r="A214" t="s">
        <v>243</v>
      </c>
      <c r="B214" s="8">
        <v>45882</v>
      </c>
      <c r="C214" t="s">
        <v>24</v>
      </c>
      <c r="D214" t="s">
        <v>40</v>
      </c>
      <c r="E214" t="s">
        <v>41</v>
      </c>
      <c r="F214" t="s">
        <v>15</v>
      </c>
      <c r="G214">
        <v>447</v>
      </c>
      <c r="H214" s="5">
        <v>1455</v>
      </c>
      <c r="I214" s="5">
        <v>650385</v>
      </c>
      <c r="J214" s="6">
        <v>536312.02</v>
      </c>
      <c r="K214" s="6">
        <v>114072.98</v>
      </c>
      <c r="L214" s="5"/>
    </row>
    <row r="215" spans="1:12" x14ac:dyDescent="0.3">
      <c r="A215" t="s">
        <v>244</v>
      </c>
      <c r="B215" s="8">
        <v>45764</v>
      </c>
      <c r="C215" t="s">
        <v>24</v>
      </c>
      <c r="D215" t="s">
        <v>28</v>
      </c>
      <c r="E215" t="s">
        <v>29</v>
      </c>
      <c r="F215" t="s">
        <v>15</v>
      </c>
      <c r="G215">
        <v>262</v>
      </c>
      <c r="H215" s="5">
        <v>724</v>
      </c>
      <c r="I215" s="5">
        <v>189688</v>
      </c>
      <c r="J215" s="6">
        <v>145726.82</v>
      </c>
      <c r="K215" s="6">
        <v>43961.18</v>
      </c>
      <c r="L215" s="5"/>
    </row>
    <row r="216" spans="1:12" x14ac:dyDescent="0.3">
      <c r="A216" t="s">
        <v>245</v>
      </c>
      <c r="B216" s="8">
        <v>45950</v>
      </c>
      <c r="C216" t="s">
        <v>24</v>
      </c>
      <c r="D216" t="s">
        <v>28</v>
      </c>
      <c r="E216" t="s">
        <v>29</v>
      </c>
      <c r="F216" t="s">
        <v>15</v>
      </c>
      <c r="G216">
        <v>231</v>
      </c>
      <c r="H216" s="5">
        <v>1198</v>
      </c>
      <c r="I216" s="5">
        <v>276738</v>
      </c>
      <c r="J216" s="6">
        <v>213316.47</v>
      </c>
      <c r="K216" s="6">
        <v>63421.53</v>
      </c>
      <c r="L216" s="5"/>
    </row>
    <row r="217" spans="1:12" x14ac:dyDescent="0.3">
      <c r="A217" t="s">
        <v>246</v>
      </c>
      <c r="B217" s="8">
        <v>45701</v>
      </c>
      <c r="C217" t="s">
        <v>31</v>
      </c>
      <c r="D217" t="s">
        <v>13</v>
      </c>
      <c r="E217" t="s">
        <v>20</v>
      </c>
      <c r="F217" t="s">
        <v>32</v>
      </c>
      <c r="G217">
        <v>462</v>
      </c>
      <c r="H217" s="5">
        <v>868</v>
      </c>
      <c r="I217" s="5">
        <v>401016</v>
      </c>
      <c r="J217" s="6">
        <v>338594.87</v>
      </c>
      <c r="K217" s="6">
        <v>62421.13</v>
      </c>
      <c r="L217" s="5"/>
    </row>
    <row r="218" spans="1:12" x14ac:dyDescent="0.3">
      <c r="A218" t="s">
        <v>247</v>
      </c>
      <c r="B218" s="8">
        <v>45796</v>
      </c>
      <c r="C218" t="s">
        <v>12</v>
      </c>
      <c r="D218" t="s">
        <v>40</v>
      </c>
      <c r="E218" t="s">
        <v>76</v>
      </c>
      <c r="F218" t="s">
        <v>32</v>
      </c>
      <c r="G218">
        <v>440</v>
      </c>
      <c r="H218" s="5">
        <v>959</v>
      </c>
      <c r="I218" s="5">
        <v>421960</v>
      </c>
      <c r="J218" s="6">
        <v>280220.32</v>
      </c>
      <c r="K218" s="6">
        <v>141739.68</v>
      </c>
      <c r="L218" s="5"/>
    </row>
    <row r="219" spans="1:12" x14ac:dyDescent="0.3">
      <c r="A219" t="s">
        <v>248</v>
      </c>
      <c r="B219" s="8">
        <v>45672</v>
      </c>
      <c r="C219" t="s">
        <v>31</v>
      </c>
      <c r="D219" t="s">
        <v>28</v>
      </c>
      <c r="E219" t="s">
        <v>37</v>
      </c>
      <c r="F219" t="s">
        <v>22</v>
      </c>
      <c r="G219">
        <v>310</v>
      </c>
      <c r="H219" s="5">
        <v>1220</v>
      </c>
      <c r="I219" s="5">
        <v>378200</v>
      </c>
      <c r="J219" s="6">
        <v>266152.34999999998</v>
      </c>
      <c r="K219" s="6">
        <v>112047.65</v>
      </c>
      <c r="L219" s="5"/>
    </row>
    <row r="220" spans="1:12" x14ac:dyDescent="0.3">
      <c r="A220" t="s">
        <v>249</v>
      </c>
      <c r="B220" s="8">
        <v>45894</v>
      </c>
      <c r="C220" t="s">
        <v>31</v>
      </c>
      <c r="D220" t="s">
        <v>25</v>
      </c>
      <c r="E220" t="s">
        <v>26</v>
      </c>
      <c r="F220" t="s">
        <v>22</v>
      </c>
      <c r="G220">
        <v>221</v>
      </c>
      <c r="H220" s="5">
        <v>656</v>
      </c>
      <c r="I220" s="5">
        <v>144976</v>
      </c>
      <c r="J220" s="6">
        <v>108713.22</v>
      </c>
      <c r="K220" s="6">
        <v>36262.78</v>
      </c>
      <c r="L220" s="5"/>
    </row>
    <row r="221" spans="1:12" x14ac:dyDescent="0.3">
      <c r="A221" t="s">
        <v>250</v>
      </c>
      <c r="B221" s="8">
        <v>45800</v>
      </c>
      <c r="C221" t="s">
        <v>31</v>
      </c>
      <c r="D221" t="s">
        <v>40</v>
      </c>
      <c r="E221" t="s">
        <v>76</v>
      </c>
      <c r="F221" t="s">
        <v>32</v>
      </c>
      <c r="G221">
        <v>376</v>
      </c>
      <c r="H221" s="5">
        <v>1387</v>
      </c>
      <c r="I221" s="5">
        <v>521512</v>
      </c>
      <c r="J221" s="6">
        <v>466627.68</v>
      </c>
      <c r="K221" s="6">
        <v>54884.32</v>
      </c>
      <c r="L221" s="5"/>
    </row>
    <row r="222" spans="1:12" x14ac:dyDescent="0.3">
      <c r="A222" t="s">
        <v>251</v>
      </c>
      <c r="B222" s="8">
        <v>45934</v>
      </c>
      <c r="C222" t="s">
        <v>17</v>
      </c>
      <c r="D222" t="s">
        <v>25</v>
      </c>
      <c r="E222" t="s">
        <v>50</v>
      </c>
      <c r="F222" t="s">
        <v>22</v>
      </c>
      <c r="G222">
        <v>238</v>
      </c>
      <c r="H222" s="5">
        <v>1383</v>
      </c>
      <c r="I222" s="5">
        <v>329154</v>
      </c>
      <c r="J222" s="6">
        <v>220796.66</v>
      </c>
      <c r="K222" s="6">
        <v>108357.34</v>
      </c>
      <c r="L222" s="5"/>
    </row>
    <row r="223" spans="1:12" x14ac:dyDescent="0.3">
      <c r="A223" t="s">
        <v>252</v>
      </c>
      <c r="B223" s="8">
        <v>46013</v>
      </c>
      <c r="C223" t="s">
        <v>31</v>
      </c>
      <c r="D223" t="s">
        <v>40</v>
      </c>
      <c r="E223" t="s">
        <v>41</v>
      </c>
      <c r="F223" t="s">
        <v>32</v>
      </c>
      <c r="G223">
        <v>425</v>
      </c>
      <c r="H223" s="5">
        <v>802</v>
      </c>
      <c r="I223" s="5">
        <v>340850</v>
      </c>
      <c r="J223" s="6">
        <v>229420.97</v>
      </c>
      <c r="K223" s="6">
        <v>111429.03</v>
      </c>
      <c r="L223" s="5"/>
    </row>
    <row r="224" spans="1:12" x14ac:dyDescent="0.3">
      <c r="A224" t="s">
        <v>253</v>
      </c>
      <c r="B224" s="8">
        <v>45823</v>
      </c>
      <c r="C224" t="s">
        <v>17</v>
      </c>
      <c r="D224" t="s">
        <v>40</v>
      </c>
      <c r="E224" t="s">
        <v>41</v>
      </c>
      <c r="F224" t="s">
        <v>22</v>
      </c>
      <c r="G224">
        <v>355</v>
      </c>
      <c r="H224" s="5">
        <v>1009</v>
      </c>
      <c r="I224" s="5">
        <v>358195</v>
      </c>
      <c r="J224" s="6">
        <v>239951.44</v>
      </c>
      <c r="K224" s="6">
        <v>118243.56</v>
      </c>
      <c r="L224" s="5"/>
    </row>
    <row r="225" spans="1:12" x14ac:dyDescent="0.3">
      <c r="A225" t="s">
        <v>254</v>
      </c>
      <c r="B225" s="8">
        <v>46007</v>
      </c>
      <c r="C225" t="s">
        <v>12</v>
      </c>
      <c r="D225" t="s">
        <v>28</v>
      </c>
      <c r="E225" t="s">
        <v>29</v>
      </c>
      <c r="F225" t="s">
        <v>22</v>
      </c>
      <c r="G225">
        <v>448</v>
      </c>
      <c r="H225" s="5">
        <v>746</v>
      </c>
      <c r="I225" s="5">
        <v>334208</v>
      </c>
      <c r="J225" s="6">
        <v>262512.96000000002</v>
      </c>
      <c r="K225" s="6">
        <v>71695.039999999994</v>
      </c>
      <c r="L225" s="5"/>
    </row>
    <row r="226" spans="1:12" x14ac:dyDescent="0.3">
      <c r="A226" t="s">
        <v>255</v>
      </c>
      <c r="B226" s="8">
        <v>46009</v>
      </c>
      <c r="C226" t="s">
        <v>12</v>
      </c>
      <c r="D226" t="s">
        <v>25</v>
      </c>
      <c r="E226" t="s">
        <v>26</v>
      </c>
      <c r="F226" t="s">
        <v>22</v>
      </c>
      <c r="G226">
        <v>427</v>
      </c>
      <c r="H226" s="5">
        <v>845</v>
      </c>
      <c r="I226" s="5">
        <v>360815</v>
      </c>
      <c r="J226" s="6">
        <v>304602.01</v>
      </c>
      <c r="K226" s="6">
        <v>56212.99</v>
      </c>
      <c r="L226" s="5"/>
    </row>
    <row r="227" spans="1:12" x14ac:dyDescent="0.3">
      <c r="A227" t="s">
        <v>256</v>
      </c>
      <c r="B227" s="8">
        <v>45948</v>
      </c>
      <c r="C227" t="s">
        <v>24</v>
      </c>
      <c r="D227" t="s">
        <v>28</v>
      </c>
      <c r="E227" t="s">
        <v>37</v>
      </c>
      <c r="F227" t="s">
        <v>32</v>
      </c>
      <c r="G227">
        <v>352</v>
      </c>
      <c r="H227" s="5">
        <v>1493</v>
      </c>
      <c r="I227" s="5">
        <v>525536</v>
      </c>
      <c r="J227" s="6">
        <v>462814.79</v>
      </c>
      <c r="K227" s="6">
        <v>62721.21</v>
      </c>
      <c r="L227" s="5"/>
    </row>
    <row r="228" spans="1:12" x14ac:dyDescent="0.3">
      <c r="A228" t="s">
        <v>257</v>
      </c>
      <c r="B228" s="8">
        <v>45851</v>
      </c>
      <c r="C228" t="s">
        <v>31</v>
      </c>
      <c r="D228" t="s">
        <v>40</v>
      </c>
      <c r="E228" t="s">
        <v>76</v>
      </c>
      <c r="F228" t="s">
        <v>15</v>
      </c>
      <c r="G228">
        <v>386</v>
      </c>
      <c r="H228" s="5">
        <v>1061</v>
      </c>
      <c r="I228" s="5">
        <v>409546</v>
      </c>
      <c r="J228" s="6">
        <v>271714.93</v>
      </c>
      <c r="K228" s="6">
        <v>137831.07</v>
      </c>
      <c r="L228" s="5"/>
    </row>
    <row r="229" spans="1:12" x14ac:dyDescent="0.3">
      <c r="A229" t="s">
        <v>258</v>
      </c>
      <c r="B229" s="8">
        <v>45761</v>
      </c>
      <c r="C229" t="s">
        <v>31</v>
      </c>
      <c r="D229" t="s">
        <v>13</v>
      </c>
      <c r="E229" t="s">
        <v>14</v>
      </c>
      <c r="F229" t="s">
        <v>15</v>
      </c>
      <c r="G229">
        <v>428</v>
      </c>
      <c r="H229" s="5">
        <v>1369</v>
      </c>
      <c r="I229" s="5">
        <v>585932</v>
      </c>
      <c r="J229" s="6">
        <v>437188.14</v>
      </c>
      <c r="K229" s="6">
        <v>148743.85999999999</v>
      </c>
      <c r="L229" s="5"/>
    </row>
    <row r="230" spans="1:12" x14ac:dyDescent="0.3">
      <c r="A230" t="s">
        <v>259</v>
      </c>
      <c r="B230" s="8">
        <v>45839</v>
      </c>
      <c r="C230" t="s">
        <v>31</v>
      </c>
      <c r="D230" t="s">
        <v>40</v>
      </c>
      <c r="E230" t="s">
        <v>41</v>
      </c>
      <c r="F230" t="s">
        <v>32</v>
      </c>
      <c r="G230">
        <v>53</v>
      </c>
      <c r="H230" s="5">
        <v>803</v>
      </c>
      <c r="I230" s="5">
        <v>42559</v>
      </c>
      <c r="J230" s="6">
        <v>33511.69</v>
      </c>
      <c r="K230" s="6">
        <v>9047.31</v>
      </c>
      <c r="L230" s="5"/>
    </row>
    <row r="231" spans="1:12" x14ac:dyDescent="0.3">
      <c r="A231" t="s">
        <v>260</v>
      </c>
      <c r="B231" s="8">
        <v>45716</v>
      </c>
      <c r="C231" t="s">
        <v>24</v>
      </c>
      <c r="D231" t="s">
        <v>28</v>
      </c>
      <c r="E231" t="s">
        <v>29</v>
      </c>
      <c r="F231" t="s">
        <v>32</v>
      </c>
      <c r="G231">
        <v>273</v>
      </c>
      <c r="H231" s="5">
        <v>1458</v>
      </c>
      <c r="I231" s="5">
        <v>398034</v>
      </c>
      <c r="J231" s="6">
        <v>285063.40000000002</v>
      </c>
      <c r="K231" s="6">
        <v>112970.6</v>
      </c>
      <c r="L231" s="5"/>
    </row>
    <row r="232" spans="1:12" x14ac:dyDescent="0.3">
      <c r="A232" t="s">
        <v>261</v>
      </c>
      <c r="B232" s="8">
        <v>45836</v>
      </c>
      <c r="C232" t="s">
        <v>12</v>
      </c>
      <c r="D232" t="s">
        <v>13</v>
      </c>
      <c r="E232" t="s">
        <v>14</v>
      </c>
      <c r="F232" t="s">
        <v>32</v>
      </c>
      <c r="G232">
        <v>178</v>
      </c>
      <c r="H232" s="5">
        <v>775</v>
      </c>
      <c r="I232" s="5">
        <v>137950</v>
      </c>
      <c r="J232" s="6">
        <v>97668.84</v>
      </c>
      <c r="K232" s="6">
        <v>40281.160000000003</v>
      </c>
      <c r="L232" s="5"/>
    </row>
    <row r="233" spans="1:12" x14ac:dyDescent="0.3">
      <c r="A233" t="s">
        <v>262</v>
      </c>
      <c r="B233" s="8">
        <v>46019</v>
      </c>
      <c r="C233" t="s">
        <v>24</v>
      </c>
      <c r="D233" t="s">
        <v>25</v>
      </c>
      <c r="E233" t="s">
        <v>26</v>
      </c>
      <c r="F233" t="s">
        <v>15</v>
      </c>
      <c r="G233">
        <v>199</v>
      </c>
      <c r="H233" s="5">
        <v>1102</v>
      </c>
      <c r="I233" s="5">
        <v>219298</v>
      </c>
      <c r="J233" s="6">
        <v>164240.53</v>
      </c>
      <c r="K233" s="6">
        <v>55057.47</v>
      </c>
      <c r="L233" s="5"/>
    </row>
    <row r="234" spans="1:12" x14ac:dyDescent="0.3">
      <c r="A234" t="s">
        <v>263</v>
      </c>
      <c r="B234" s="8">
        <v>45851</v>
      </c>
      <c r="C234" t="s">
        <v>31</v>
      </c>
      <c r="D234" t="s">
        <v>25</v>
      </c>
      <c r="E234" t="s">
        <v>26</v>
      </c>
      <c r="F234" t="s">
        <v>32</v>
      </c>
      <c r="G234">
        <v>457</v>
      </c>
      <c r="H234" s="5">
        <v>1404</v>
      </c>
      <c r="I234" s="5">
        <v>641628</v>
      </c>
      <c r="J234" s="6">
        <v>438710.2</v>
      </c>
      <c r="K234" s="6">
        <v>202917.8</v>
      </c>
      <c r="L234" s="5"/>
    </row>
    <row r="235" spans="1:12" x14ac:dyDescent="0.3">
      <c r="A235" t="s">
        <v>264</v>
      </c>
      <c r="B235" s="8">
        <v>45821</v>
      </c>
      <c r="C235" t="s">
        <v>31</v>
      </c>
      <c r="D235" t="s">
        <v>25</v>
      </c>
      <c r="E235" t="s">
        <v>50</v>
      </c>
      <c r="F235" t="s">
        <v>22</v>
      </c>
      <c r="G235">
        <v>62</v>
      </c>
      <c r="H235" s="5">
        <v>573</v>
      </c>
      <c r="I235" s="5">
        <v>35526</v>
      </c>
      <c r="J235" s="6">
        <v>25394.05</v>
      </c>
      <c r="K235" s="6">
        <v>10131.950000000001</v>
      </c>
      <c r="L235" s="5"/>
    </row>
    <row r="236" spans="1:12" x14ac:dyDescent="0.3">
      <c r="A236" t="s">
        <v>265</v>
      </c>
      <c r="B236" s="8">
        <v>45994</v>
      </c>
      <c r="C236" t="s">
        <v>24</v>
      </c>
      <c r="D236" t="s">
        <v>40</v>
      </c>
      <c r="E236" t="s">
        <v>76</v>
      </c>
      <c r="F236" t="s">
        <v>15</v>
      </c>
      <c r="G236">
        <v>312</v>
      </c>
      <c r="H236" s="5">
        <v>563</v>
      </c>
      <c r="I236" s="5">
        <v>175656</v>
      </c>
      <c r="J236" s="6">
        <v>154111.84</v>
      </c>
      <c r="K236" s="6">
        <v>21544.16</v>
      </c>
      <c r="L236" s="5"/>
    </row>
    <row r="237" spans="1:12" x14ac:dyDescent="0.3">
      <c r="A237" t="s">
        <v>266</v>
      </c>
      <c r="B237" s="8">
        <v>45857</v>
      </c>
      <c r="C237" t="s">
        <v>31</v>
      </c>
      <c r="D237" t="s">
        <v>40</v>
      </c>
      <c r="E237" t="s">
        <v>41</v>
      </c>
      <c r="F237" t="s">
        <v>15</v>
      </c>
      <c r="G237">
        <v>274</v>
      </c>
      <c r="H237" s="5">
        <v>679</v>
      </c>
      <c r="I237" s="5">
        <v>186046</v>
      </c>
      <c r="J237" s="6">
        <v>160179.73000000001</v>
      </c>
      <c r="K237" s="6">
        <v>25866.27</v>
      </c>
      <c r="L237" s="5"/>
    </row>
    <row r="238" spans="1:12" x14ac:dyDescent="0.3">
      <c r="A238" t="s">
        <v>267</v>
      </c>
      <c r="B238" s="8">
        <v>45769</v>
      </c>
      <c r="C238" t="s">
        <v>17</v>
      </c>
      <c r="D238" t="s">
        <v>25</v>
      </c>
      <c r="E238" t="s">
        <v>26</v>
      </c>
      <c r="F238" t="s">
        <v>15</v>
      </c>
      <c r="G238">
        <v>211</v>
      </c>
      <c r="H238" s="5">
        <v>953</v>
      </c>
      <c r="I238" s="5">
        <v>201083</v>
      </c>
      <c r="J238" s="6">
        <v>141224.28</v>
      </c>
      <c r="K238" s="6">
        <v>59858.720000000001</v>
      </c>
      <c r="L238" s="5"/>
    </row>
    <row r="239" spans="1:12" x14ac:dyDescent="0.3">
      <c r="A239" t="s">
        <v>268</v>
      </c>
      <c r="B239" s="8">
        <v>45893</v>
      </c>
      <c r="C239" t="s">
        <v>31</v>
      </c>
      <c r="D239" t="s">
        <v>28</v>
      </c>
      <c r="E239" t="s">
        <v>37</v>
      </c>
      <c r="F239" t="s">
        <v>22</v>
      </c>
      <c r="G239">
        <v>273</v>
      </c>
      <c r="H239" s="5">
        <v>776</v>
      </c>
      <c r="I239" s="5">
        <v>211848</v>
      </c>
      <c r="J239" s="6">
        <v>156522.88</v>
      </c>
      <c r="K239" s="6">
        <v>55325.120000000003</v>
      </c>
      <c r="L239" s="5"/>
    </row>
    <row r="240" spans="1:12" x14ac:dyDescent="0.3">
      <c r="A240" t="s">
        <v>269</v>
      </c>
      <c r="B240" s="8">
        <v>45689</v>
      </c>
      <c r="C240" t="s">
        <v>31</v>
      </c>
      <c r="D240" t="s">
        <v>13</v>
      </c>
      <c r="E240" t="s">
        <v>18</v>
      </c>
      <c r="F240" t="s">
        <v>32</v>
      </c>
      <c r="G240">
        <v>476</v>
      </c>
      <c r="H240" s="5">
        <v>512</v>
      </c>
      <c r="I240" s="5">
        <v>243712</v>
      </c>
      <c r="J240" s="6">
        <v>174702.03</v>
      </c>
      <c r="K240" s="6">
        <v>69009.97</v>
      </c>
      <c r="L240" s="5"/>
    </row>
    <row r="241" spans="1:12" x14ac:dyDescent="0.3">
      <c r="A241" t="s">
        <v>270</v>
      </c>
      <c r="B241" s="8">
        <v>45990</v>
      </c>
      <c r="C241" t="s">
        <v>31</v>
      </c>
      <c r="D241" t="s">
        <v>13</v>
      </c>
      <c r="E241" t="s">
        <v>20</v>
      </c>
      <c r="F241" t="s">
        <v>22</v>
      </c>
      <c r="G241">
        <v>284</v>
      </c>
      <c r="H241" s="5">
        <v>881</v>
      </c>
      <c r="I241" s="5">
        <v>250204</v>
      </c>
      <c r="J241" s="6">
        <v>187041.56</v>
      </c>
      <c r="K241" s="6">
        <v>63162.44</v>
      </c>
      <c r="L241" s="5"/>
    </row>
    <row r="242" spans="1:12" x14ac:dyDescent="0.3">
      <c r="A242" t="s">
        <v>271</v>
      </c>
      <c r="B242" s="8">
        <v>45714</v>
      </c>
      <c r="C242" t="s">
        <v>12</v>
      </c>
      <c r="D242" t="s">
        <v>40</v>
      </c>
      <c r="E242" t="s">
        <v>41</v>
      </c>
      <c r="F242" t="s">
        <v>22</v>
      </c>
      <c r="G242">
        <v>194</v>
      </c>
      <c r="H242" s="5">
        <v>622</v>
      </c>
      <c r="I242" s="5">
        <v>120668</v>
      </c>
      <c r="J242" s="6">
        <v>86405.69</v>
      </c>
      <c r="K242" s="6">
        <v>34262.31</v>
      </c>
      <c r="L242" s="5"/>
    </row>
    <row r="243" spans="1:12" x14ac:dyDescent="0.3">
      <c r="A243" t="s">
        <v>272</v>
      </c>
      <c r="B243" s="8">
        <v>45829</v>
      </c>
      <c r="C243" t="s">
        <v>17</v>
      </c>
      <c r="D243" t="s">
        <v>40</v>
      </c>
      <c r="E243" t="s">
        <v>76</v>
      </c>
      <c r="F243" t="s">
        <v>15</v>
      </c>
      <c r="G243">
        <v>500</v>
      </c>
      <c r="H243" s="5">
        <v>1261</v>
      </c>
      <c r="I243" s="5">
        <v>630500</v>
      </c>
      <c r="J243" s="6">
        <v>440832.36</v>
      </c>
      <c r="K243" s="6">
        <v>189667.64</v>
      </c>
      <c r="L243" s="5"/>
    </row>
    <row r="244" spans="1:12" x14ac:dyDescent="0.3">
      <c r="A244" t="s">
        <v>273</v>
      </c>
      <c r="B244" s="8">
        <v>45722</v>
      </c>
      <c r="C244" t="s">
        <v>24</v>
      </c>
      <c r="D244" t="s">
        <v>28</v>
      </c>
      <c r="E244" t="s">
        <v>29</v>
      </c>
      <c r="F244" t="s">
        <v>15</v>
      </c>
      <c r="G244">
        <v>121</v>
      </c>
      <c r="H244" s="5">
        <v>552</v>
      </c>
      <c r="I244" s="5">
        <v>66792</v>
      </c>
      <c r="J244" s="6">
        <v>46275.8</v>
      </c>
      <c r="K244" s="6">
        <v>20516.2</v>
      </c>
      <c r="L244" s="5"/>
    </row>
    <row r="245" spans="1:12" x14ac:dyDescent="0.3">
      <c r="A245" t="s">
        <v>274</v>
      </c>
      <c r="B245" s="8">
        <v>45966</v>
      </c>
      <c r="C245" t="s">
        <v>12</v>
      </c>
      <c r="D245" t="s">
        <v>40</v>
      </c>
      <c r="E245" t="s">
        <v>76</v>
      </c>
      <c r="F245" t="s">
        <v>15</v>
      </c>
      <c r="G245">
        <v>78</v>
      </c>
      <c r="H245" s="5">
        <v>1103</v>
      </c>
      <c r="I245" s="5">
        <v>86034</v>
      </c>
      <c r="J245" s="6">
        <v>76960.350000000006</v>
      </c>
      <c r="K245" s="6">
        <v>9073.65</v>
      </c>
      <c r="L245" s="5"/>
    </row>
    <row r="246" spans="1:12" x14ac:dyDescent="0.3">
      <c r="A246" t="s">
        <v>275</v>
      </c>
      <c r="B246" s="8">
        <v>45782</v>
      </c>
      <c r="C246" t="s">
        <v>12</v>
      </c>
      <c r="D246" t="s">
        <v>28</v>
      </c>
      <c r="E246" t="s">
        <v>37</v>
      </c>
      <c r="F246" t="s">
        <v>15</v>
      </c>
      <c r="G246">
        <v>109</v>
      </c>
      <c r="H246" s="5">
        <v>691</v>
      </c>
      <c r="I246" s="5">
        <v>75319</v>
      </c>
      <c r="J246" s="6">
        <v>64333.9</v>
      </c>
      <c r="K246" s="6">
        <v>10985.1</v>
      </c>
      <c r="L246" s="5"/>
    </row>
    <row r="247" spans="1:12" x14ac:dyDescent="0.3">
      <c r="A247" t="s">
        <v>276</v>
      </c>
      <c r="B247" s="8">
        <v>45926</v>
      </c>
      <c r="C247" t="s">
        <v>31</v>
      </c>
      <c r="D247" t="s">
        <v>28</v>
      </c>
      <c r="E247" t="s">
        <v>37</v>
      </c>
      <c r="F247" t="s">
        <v>32</v>
      </c>
      <c r="G247">
        <v>314</v>
      </c>
      <c r="H247" s="5">
        <v>980</v>
      </c>
      <c r="I247" s="5">
        <v>307720</v>
      </c>
      <c r="J247" s="6">
        <v>201931.62</v>
      </c>
      <c r="K247" s="6">
        <v>105788.38</v>
      </c>
      <c r="L247" s="5"/>
    </row>
    <row r="248" spans="1:12" x14ac:dyDescent="0.3">
      <c r="A248" t="s">
        <v>277</v>
      </c>
      <c r="B248" s="8">
        <v>45939</v>
      </c>
      <c r="C248" t="s">
        <v>24</v>
      </c>
      <c r="D248" t="s">
        <v>25</v>
      </c>
      <c r="E248" t="s">
        <v>50</v>
      </c>
      <c r="F248" t="s">
        <v>15</v>
      </c>
      <c r="G248">
        <v>431</v>
      </c>
      <c r="H248" s="5">
        <v>1178</v>
      </c>
      <c r="I248" s="5">
        <v>507718</v>
      </c>
      <c r="J248" s="6">
        <v>359234.86</v>
      </c>
      <c r="K248" s="6">
        <v>148483.14000000001</v>
      </c>
      <c r="L248" s="5"/>
    </row>
    <row r="249" spans="1:12" x14ac:dyDescent="0.3">
      <c r="A249" t="s">
        <v>278</v>
      </c>
      <c r="B249" s="8">
        <v>45908</v>
      </c>
      <c r="C249" t="s">
        <v>17</v>
      </c>
      <c r="D249" t="s">
        <v>40</v>
      </c>
      <c r="E249" t="s">
        <v>41</v>
      </c>
      <c r="F249" t="s">
        <v>32</v>
      </c>
      <c r="G249">
        <v>282</v>
      </c>
      <c r="H249" s="5">
        <v>369</v>
      </c>
      <c r="I249" s="5">
        <v>104058</v>
      </c>
      <c r="J249" s="6">
        <v>83961.55</v>
      </c>
      <c r="K249" s="6">
        <v>20096.45</v>
      </c>
      <c r="L249" s="5"/>
    </row>
    <row r="250" spans="1:12" x14ac:dyDescent="0.3">
      <c r="A250" t="s">
        <v>279</v>
      </c>
      <c r="B250" s="8">
        <v>45962</v>
      </c>
      <c r="C250" t="s">
        <v>17</v>
      </c>
      <c r="D250" t="s">
        <v>13</v>
      </c>
      <c r="E250" t="s">
        <v>14</v>
      </c>
      <c r="F250" t="s">
        <v>15</v>
      </c>
      <c r="G250">
        <v>245</v>
      </c>
      <c r="H250" s="5">
        <v>435</v>
      </c>
      <c r="I250" s="5">
        <v>106575</v>
      </c>
      <c r="J250" s="6">
        <v>86345.34</v>
      </c>
      <c r="K250" s="6">
        <v>20229.66</v>
      </c>
      <c r="L250" s="5"/>
    </row>
    <row r="251" spans="1:12" x14ac:dyDescent="0.3">
      <c r="A251" t="s">
        <v>280</v>
      </c>
      <c r="B251" s="8">
        <v>45834</v>
      </c>
      <c r="C251" t="s">
        <v>31</v>
      </c>
      <c r="D251" t="s">
        <v>28</v>
      </c>
      <c r="E251" t="s">
        <v>37</v>
      </c>
      <c r="F251" t="s">
        <v>15</v>
      </c>
      <c r="G251">
        <v>449</v>
      </c>
      <c r="H251" s="5">
        <v>425</v>
      </c>
      <c r="I251" s="5">
        <v>190825</v>
      </c>
      <c r="J251" s="6">
        <v>135403.59</v>
      </c>
      <c r="K251" s="6">
        <v>55421.41</v>
      </c>
      <c r="L251" s="5"/>
    </row>
    <row r="252" spans="1:12" x14ac:dyDescent="0.3">
      <c r="A252" t="s">
        <v>281</v>
      </c>
      <c r="B252" s="8">
        <v>46004</v>
      </c>
      <c r="C252" t="s">
        <v>17</v>
      </c>
      <c r="D252" t="s">
        <v>40</v>
      </c>
      <c r="E252" t="s">
        <v>41</v>
      </c>
      <c r="F252" t="s">
        <v>32</v>
      </c>
      <c r="G252">
        <v>186</v>
      </c>
      <c r="H252" s="5">
        <v>461</v>
      </c>
      <c r="I252" s="5">
        <v>85746</v>
      </c>
      <c r="J252" s="6">
        <v>57606.46</v>
      </c>
      <c r="K252" s="6">
        <v>28139.54</v>
      </c>
      <c r="L252" s="5"/>
    </row>
    <row r="253" spans="1:12" x14ac:dyDescent="0.3">
      <c r="A253" t="s">
        <v>282</v>
      </c>
      <c r="B253" s="8">
        <v>45894</v>
      </c>
      <c r="C253" t="s">
        <v>24</v>
      </c>
      <c r="D253" t="s">
        <v>13</v>
      </c>
      <c r="E253" t="s">
        <v>14</v>
      </c>
      <c r="F253" t="s">
        <v>32</v>
      </c>
      <c r="G253">
        <v>104</v>
      </c>
      <c r="H253" s="5">
        <v>1427</v>
      </c>
      <c r="I253" s="5">
        <v>148408</v>
      </c>
      <c r="J253" s="6">
        <v>113865.81</v>
      </c>
      <c r="K253" s="6">
        <v>34542.19</v>
      </c>
      <c r="L253" s="5"/>
    </row>
    <row r="254" spans="1:12" x14ac:dyDescent="0.3">
      <c r="A254" t="s">
        <v>283</v>
      </c>
      <c r="B254" s="8">
        <v>45855</v>
      </c>
      <c r="C254" t="s">
        <v>31</v>
      </c>
      <c r="D254" t="s">
        <v>25</v>
      </c>
      <c r="E254" t="s">
        <v>26</v>
      </c>
      <c r="F254" t="s">
        <v>15</v>
      </c>
      <c r="G254">
        <v>365</v>
      </c>
      <c r="H254" s="5">
        <v>868</v>
      </c>
      <c r="I254" s="5">
        <v>316820</v>
      </c>
      <c r="J254" s="6">
        <v>242229.56</v>
      </c>
      <c r="K254" s="6">
        <v>74590.44</v>
      </c>
      <c r="L254" s="5"/>
    </row>
    <row r="255" spans="1:12" x14ac:dyDescent="0.3">
      <c r="A255" t="s">
        <v>284</v>
      </c>
      <c r="B255" s="8">
        <v>45765</v>
      </c>
      <c r="C255" t="s">
        <v>31</v>
      </c>
      <c r="D255" t="s">
        <v>13</v>
      </c>
      <c r="E255" t="s">
        <v>18</v>
      </c>
      <c r="F255" t="s">
        <v>15</v>
      </c>
      <c r="G255">
        <v>228</v>
      </c>
      <c r="H255" s="5">
        <v>1296</v>
      </c>
      <c r="I255" s="5">
        <v>295488</v>
      </c>
      <c r="J255" s="6">
        <v>221419.94</v>
      </c>
      <c r="K255" s="6">
        <v>74068.06</v>
      </c>
      <c r="L255" s="5"/>
    </row>
    <row r="256" spans="1:12" x14ac:dyDescent="0.3">
      <c r="A256" t="s">
        <v>285</v>
      </c>
      <c r="B256" s="8">
        <v>45773</v>
      </c>
      <c r="C256" t="s">
        <v>12</v>
      </c>
      <c r="D256" t="s">
        <v>13</v>
      </c>
      <c r="E256" t="s">
        <v>18</v>
      </c>
      <c r="F256" t="s">
        <v>15</v>
      </c>
      <c r="G256">
        <v>402</v>
      </c>
      <c r="H256" s="5">
        <v>1350</v>
      </c>
      <c r="I256" s="5">
        <v>542700</v>
      </c>
      <c r="J256" s="6">
        <v>446561.85</v>
      </c>
      <c r="K256" s="6">
        <v>96138.15</v>
      </c>
      <c r="L256" s="5"/>
    </row>
    <row r="257" spans="1:12" x14ac:dyDescent="0.3">
      <c r="A257" t="s">
        <v>286</v>
      </c>
      <c r="B257" s="8">
        <v>45790</v>
      </c>
      <c r="C257" t="s">
        <v>31</v>
      </c>
      <c r="D257" t="s">
        <v>25</v>
      </c>
      <c r="E257" t="s">
        <v>50</v>
      </c>
      <c r="F257" t="s">
        <v>15</v>
      </c>
      <c r="G257">
        <v>485</v>
      </c>
      <c r="H257" s="5">
        <v>708</v>
      </c>
      <c r="I257" s="5">
        <v>343380</v>
      </c>
      <c r="J257" s="6">
        <v>269528.82</v>
      </c>
      <c r="K257" s="6">
        <v>73851.179999999993</v>
      </c>
      <c r="L257" s="5"/>
    </row>
    <row r="258" spans="1:12" x14ac:dyDescent="0.3">
      <c r="A258" t="s">
        <v>287</v>
      </c>
      <c r="B258" s="8">
        <v>45854</v>
      </c>
      <c r="C258" t="s">
        <v>31</v>
      </c>
      <c r="D258" t="s">
        <v>13</v>
      </c>
      <c r="E258" t="s">
        <v>18</v>
      </c>
      <c r="F258" t="s">
        <v>15</v>
      </c>
      <c r="G258">
        <v>242</v>
      </c>
      <c r="H258" s="5">
        <v>983</v>
      </c>
      <c r="I258" s="5">
        <v>237886</v>
      </c>
      <c r="J258" s="6">
        <v>188193.29</v>
      </c>
      <c r="K258" s="6">
        <v>49692.71</v>
      </c>
      <c r="L258" s="5"/>
    </row>
    <row r="259" spans="1:12" x14ac:dyDescent="0.3">
      <c r="A259" t="s">
        <v>288</v>
      </c>
      <c r="B259" s="8">
        <v>45892</v>
      </c>
      <c r="C259" t="s">
        <v>31</v>
      </c>
      <c r="D259" t="s">
        <v>40</v>
      </c>
      <c r="E259" t="s">
        <v>76</v>
      </c>
      <c r="F259" t="s">
        <v>15</v>
      </c>
      <c r="G259">
        <v>71</v>
      </c>
      <c r="H259" s="5">
        <v>1033</v>
      </c>
      <c r="I259" s="5">
        <v>73343</v>
      </c>
      <c r="J259" s="6">
        <v>61333.11</v>
      </c>
      <c r="K259" s="6">
        <v>12009.89</v>
      </c>
      <c r="L259" s="5"/>
    </row>
    <row r="260" spans="1:12" x14ac:dyDescent="0.3">
      <c r="A260" t="s">
        <v>289</v>
      </c>
      <c r="B260" s="8">
        <v>45900</v>
      </c>
      <c r="C260" t="s">
        <v>17</v>
      </c>
      <c r="D260" t="s">
        <v>40</v>
      </c>
      <c r="E260" t="s">
        <v>41</v>
      </c>
      <c r="F260" t="s">
        <v>32</v>
      </c>
      <c r="G260">
        <v>152</v>
      </c>
      <c r="H260" s="5">
        <v>784</v>
      </c>
      <c r="I260" s="5">
        <v>119168</v>
      </c>
      <c r="J260" s="6">
        <v>102450.9</v>
      </c>
      <c r="K260" s="6">
        <v>16717.099999999999</v>
      </c>
      <c r="L260" s="5"/>
    </row>
    <row r="261" spans="1:12" x14ac:dyDescent="0.3">
      <c r="A261" t="s">
        <v>290</v>
      </c>
      <c r="B261" s="8">
        <v>45822</v>
      </c>
      <c r="C261" t="s">
        <v>12</v>
      </c>
      <c r="D261" t="s">
        <v>40</v>
      </c>
      <c r="E261" t="s">
        <v>76</v>
      </c>
      <c r="F261" t="s">
        <v>32</v>
      </c>
      <c r="G261">
        <v>146</v>
      </c>
      <c r="H261" s="5">
        <v>834</v>
      </c>
      <c r="I261" s="5">
        <v>121764</v>
      </c>
      <c r="J261" s="6">
        <v>85323.1</v>
      </c>
      <c r="K261" s="6">
        <v>36440.9</v>
      </c>
      <c r="L261" s="5"/>
    </row>
    <row r="262" spans="1:12" x14ac:dyDescent="0.3">
      <c r="A262" t="s">
        <v>291</v>
      </c>
      <c r="B262" s="8">
        <v>45817</v>
      </c>
      <c r="C262" t="s">
        <v>12</v>
      </c>
      <c r="D262" t="s">
        <v>13</v>
      </c>
      <c r="E262" t="s">
        <v>14</v>
      </c>
      <c r="F262" t="s">
        <v>22</v>
      </c>
      <c r="G262">
        <v>476</v>
      </c>
      <c r="H262" s="5">
        <v>1101</v>
      </c>
      <c r="I262" s="5">
        <v>524076</v>
      </c>
      <c r="J262" s="6">
        <v>405924.63</v>
      </c>
      <c r="K262" s="6">
        <v>118151.37</v>
      </c>
      <c r="L262" s="5"/>
    </row>
    <row r="263" spans="1:12" x14ac:dyDescent="0.3">
      <c r="A263" t="s">
        <v>292</v>
      </c>
      <c r="B263" s="8">
        <v>45861</v>
      </c>
      <c r="C263" t="s">
        <v>31</v>
      </c>
      <c r="D263" t="s">
        <v>13</v>
      </c>
      <c r="E263" t="s">
        <v>20</v>
      </c>
      <c r="F263" t="s">
        <v>22</v>
      </c>
      <c r="G263">
        <v>436</v>
      </c>
      <c r="H263" s="5">
        <v>1376</v>
      </c>
      <c r="I263" s="5">
        <v>599936</v>
      </c>
      <c r="J263" s="6">
        <v>412566.79</v>
      </c>
      <c r="K263" s="6">
        <v>187369.21</v>
      </c>
      <c r="L263" s="5"/>
    </row>
    <row r="264" spans="1:12" x14ac:dyDescent="0.3">
      <c r="A264" t="s">
        <v>293</v>
      </c>
      <c r="B264" s="8">
        <v>45879</v>
      </c>
      <c r="C264" t="s">
        <v>31</v>
      </c>
      <c r="D264" t="s">
        <v>40</v>
      </c>
      <c r="E264" t="s">
        <v>41</v>
      </c>
      <c r="F264" t="s">
        <v>32</v>
      </c>
      <c r="G264">
        <v>451</v>
      </c>
      <c r="H264" s="5">
        <v>894</v>
      </c>
      <c r="I264" s="5">
        <v>403194</v>
      </c>
      <c r="J264" s="6">
        <v>357629.52</v>
      </c>
      <c r="K264" s="6">
        <v>45564.480000000003</v>
      </c>
      <c r="L264" s="5"/>
    </row>
    <row r="265" spans="1:12" x14ac:dyDescent="0.3">
      <c r="A265" t="s">
        <v>294</v>
      </c>
      <c r="B265" s="8">
        <v>45719</v>
      </c>
      <c r="C265" t="s">
        <v>24</v>
      </c>
      <c r="D265" t="s">
        <v>28</v>
      </c>
      <c r="E265" t="s">
        <v>29</v>
      </c>
      <c r="F265" t="s">
        <v>15</v>
      </c>
      <c r="G265">
        <v>254</v>
      </c>
      <c r="H265" s="5">
        <v>1068</v>
      </c>
      <c r="I265" s="5">
        <v>271272</v>
      </c>
      <c r="J265" s="6">
        <v>222862.46</v>
      </c>
      <c r="K265" s="6">
        <v>48409.54</v>
      </c>
      <c r="L265" s="5"/>
    </row>
    <row r="266" spans="1:12" x14ac:dyDescent="0.3">
      <c r="A266" t="s">
        <v>295</v>
      </c>
      <c r="B266" s="8">
        <v>46023</v>
      </c>
      <c r="C266" t="s">
        <v>24</v>
      </c>
      <c r="D266" t="s">
        <v>28</v>
      </c>
      <c r="E266" t="s">
        <v>29</v>
      </c>
      <c r="F266" t="s">
        <v>22</v>
      </c>
      <c r="G266">
        <v>139</v>
      </c>
      <c r="H266" s="5">
        <v>733</v>
      </c>
      <c r="I266" s="5">
        <v>101887</v>
      </c>
      <c r="J266" s="6">
        <v>67290.77</v>
      </c>
      <c r="K266" s="6">
        <v>34596.230000000003</v>
      </c>
      <c r="L266" s="5"/>
    </row>
    <row r="267" spans="1:12" x14ac:dyDescent="0.3">
      <c r="A267" t="s">
        <v>296</v>
      </c>
      <c r="B267" s="8">
        <v>45806</v>
      </c>
      <c r="C267" t="s">
        <v>17</v>
      </c>
      <c r="D267" t="s">
        <v>40</v>
      </c>
      <c r="E267" t="s">
        <v>76</v>
      </c>
      <c r="F267" t="s">
        <v>15</v>
      </c>
      <c r="G267">
        <v>266</v>
      </c>
      <c r="H267" s="5">
        <v>1460</v>
      </c>
      <c r="I267" s="5">
        <v>388360</v>
      </c>
      <c r="J267" s="6">
        <v>281969.39</v>
      </c>
      <c r="K267" s="6">
        <v>106390.61</v>
      </c>
      <c r="L267" s="5"/>
    </row>
    <row r="268" spans="1:12" x14ac:dyDescent="0.3">
      <c r="A268" t="s">
        <v>297</v>
      </c>
      <c r="B268" s="8">
        <v>45712</v>
      </c>
      <c r="C268" t="s">
        <v>24</v>
      </c>
      <c r="D268" t="s">
        <v>25</v>
      </c>
      <c r="E268" t="s">
        <v>26</v>
      </c>
      <c r="F268" t="s">
        <v>22</v>
      </c>
      <c r="G268">
        <v>46</v>
      </c>
      <c r="H268" s="5">
        <v>928</v>
      </c>
      <c r="I268" s="5">
        <v>42688</v>
      </c>
      <c r="J268" s="6">
        <v>31857.52</v>
      </c>
      <c r="K268" s="6">
        <v>10830.48</v>
      </c>
      <c r="L268" s="5"/>
    </row>
    <row r="269" spans="1:12" x14ac:dyDescent="0.3">
      <c r="A269" t="s">
        <v>298</v>
      </c>
      <c r="B269" s="8">
        <v>45750</v>
      </c>
      <c r="C269" t="s">
        <v>31</v>
      </c>
      <c r="D269" t="s">
        <v>28</v>
      </c>
      <c r="E269" t="s">
        <v>29</v>
      </c>
      <c r="F269" t="s">
        <v>22</v>
      </c>
      <c r="G269">
        <v>451</v>
      </c>
      <c r="H269" s="5">
        <v>1057</v>
      </c>
      <c r="I269" s="5">
        <v>476707</v>
      </c>
      <c r="J269" s="6">
        <v>373672.79</v>
      </c>
      <c r="K269" s="6">
        <v>103034.21</v>
      </c>
      <c r="L269" s="5"/>
    </row>
    <row r="270" spans="1:12" x14ac:dyDescent="0.3">
      <c r="A270" t="s">
        <v>299</v>
      </c>
      <c r="B270" s="8">
        <v>45819</v>
      </c>
      <c r="C270" t="s">
        <v>24</v>
      </c>
      <c r="D270" t="s">
        <v>28</v>
      </c>
      <c r="E270" t="s">
        <v>37</v>
      </c>
      <c r="F270" t="s">
        <v>22</v>
      </c>
      <c r="G270">
        <v>398</v>
      </c>
      <c r="H270" s="5">
        <v>920</v>
      </c>
      <c r="I270" s="5">
        <v>366160</v>
      </c>
      <c r="J270" s="6">
        <v>255521.06</v>
      </c>
      <c r="K270" s="6">
        <v>110638.94</v>
      </c>
      <c r="L270" s="5"/>
    </row>
    <row r="271" spans="1:12" x14ac:dyDescent="0.3">
      <c r="A271" t="s">
        <v>300</v>
      </c>
      <c r="B271" s="8">
        <v>45805</v>
      </c>
      <c r="C271" t="s">
        <v>17</v>
      </c>
      <c r="D271" t="s">
        <v>40</v>
      </c>
      <c r="E271" t="s">
        <v>76</v>
      </c>
      <c r="F271" t="s">
        <v>32</v>
      </c>
      <c r="G271">
        <v>462</v>
      </c>
      <c r="H271" s="5">
        <v>1058</v>
      </c>
      <c r="I271" s="5">
        <v>488796</v>
      </c>
      <c r="J271" s="6">
        <v>416581.92</v>
      </c>
      <c r="K271" s="6">
        <v>72214.080000000002</v>
      </c>
      <c r="L271" s="5"/>
    </row>
    <row r="272" spans="1:12" x14ac:dyDescent="0.3">
      <c r="A272" t="s">
        <v>301</v>
      </c>
      <c r="B272" s="8">
        <v>45800</v>
      </c>
      <c r="C272" t="s">
        <v>31</v>
      </c>
      <c r="D272" t="s">
        <v>40</v>
      </c>
      <c r="E272" t="s">
        <v>41</v>
      </c>
      <c r="F272" t="s">
        <v>22</v>
      </c>
      <c r="G272">
        <v>216</v>
      </c>
      <c r="H272" s="5">
        <v>1292</v>
      </c>
      <c r="I272" s="5">
        <v>279072</v>
      </c>
      <c r="J272" s="6">
        <v>229502.82</v>
      </c>
      <c r="K272" s="6">
        <v>49569.18</v>
      </c>
      <c r="L272" s="5"/>
    </row>
    <row r="273" spans="1:12" x14ac:dyDescent="0.3">
      <c r="A273" t="s">
        <v>302</v>
      </c>
      <c r="B273" s="8">
        <v>45769</v>
      </c>
      <c r="C273" t="s">
        <v>24</v>
      </c>
      <c r="D273" t="s">
        <v>40</v>
      </c>
      <c r="E273" t="s">
        <v>41</v>
      </c>
      <c r="F273" t="s">
        <v>15</v>
      </c>
      <c r="G273">
        <v>421</v>
      </c>
      <c r="H273" s="5">
        <v>1147</v>
      </c>
      <c r="I273" s="5">
        <v>482887</v>
      </c>
      <c r="J273" s="6">
        <v>348487.96</v>
      </c>
      <c r="K273" s="6">
        <v>134399.04000000001</v>
      </c>
      <c r="L273" s="5"/>
    </row>
    <row r="274" spans="1:12" x14ac:dyDescent="0.3">
      <c r="A274" t="s">
        <v>303</v>
      </c>
      <c r="B274" s="8">
        <v>45718</v>
      </c>
      <c r="C274" t="s">
        <v>24</v>
      </c>
      <c r="D274" t="s">
        <v>25</v>
      </c>
      <c r="E274" t="s">
        <v>50</v>
      </c>
      <c r="F274" t="s">
        <v>15</v>
      </c>
      <c r="G274">
        <v>75</v>
      </c>
      <c r="H274" s="5">
        <v>443</v>
      </c>
      <c r="I274" s="5">
        <v>33225</v>
      </c>
      <c r="J274" s="6">
        <v>22354.18</v>
      </c>
      <c r="K274" s="6">
        <v>10870.82</v>
      </c>
      <c r="L274" s="5"/>
    </row>
    <row r="275" spans="1:12" x14ac:dyDescent="0.3">
      <c r="A275" t="s">
        <v>304</v>
      </c>
      <c r="B275" s="8">
        <v>45765</v>
      </c>
      <c r="C275" t="s">
        <v>31</v>
      </c>
      <c r="D275" t="s">
        <v>13</v>
      </c>
      <c r="E275" t="s">
        <v>14</v>
      </c>
      <c r="F275" t="s">
        <v>15</v>
      </c>
      <c r="G275">
        <v>300</v>
      </c>
      <c r="H275" s="5">
        <v>1368</v>
      </c>
      <c r="I275" s="5">
        <v>410400</v>
      </c>
      <c r="J275" s="6">
        <v>286451.03999999998</v>
      </c>
      <c r="K275" s="6">
        <v>123948.96</v>
      </c>
      <c r="L275" s="5"/>
    </row>
    <row r="276" spans="1:12" x14ac:dyDescent="0.3">
      <c r="A276" t="s">
        <v>305</v>
      </c>
      <c r="B276" s="8">
        <v>45777</v>
      </c>
      <c r="C276" t="s">
        <v>12</v>
      </c>
      <c r="D276" t="s">
        <v>25</v>
      </c>
      <c r="E276" t="s">
        <v>26</v>
      </c>
      <c r="F276" t="s">
        <v>32</v>
      </c>
      <c r="G276">
        <v>200</v>
      </c>
      <c r="H276" s="5">
        <v>515</v>
      </c>
      <c r="I276" s="5">
        <v>103000</v>
      </c>
      <c r="J276" s="6">
        <v>81880.100000000006</v>
      </c>
      <c r="K276" s="6">
        <v>21119.9</v>
      </c>
      <c r="L276" s="5"/>
    </row>
    <row r="277" spans="1:12" x14ac:dyDescent="0.3">
      <c r="A277" t="s">
        <v>306</v>
      </c>
      <c r="B277" s="8">
        <v>45895</v>
      </c>
      <c r="C277" t="s">
        <v>31</v>
      </c>
      <c r="D277" t="s">
        <v>13</v>
      </c>
      <c r="E277" t="s">
        <v>18</v>
      </c>
      <c r="F277" t="s">
        <v>32</v>
      </c>
      <c r="G277">
        <v>453</v>
      </c>
      <c r="H277" s="5">
        <v>602</v>
      </c>
      <c r="I277" s="5">
        <v>272706</v>
      </c>
      <c r="J277" s="6">
        <v>194285.64</v>
      </c>
      <c r="K277" s="6">
        <v>78420.36</v>
      </c>
      <c r="L277" s="5"/>
    </row>
    <row r="278" spans="1:12" x14ac:dyDescent="0.3">
      <c r="A278" t="s">
        <v>307</v>
      </c>
      <c r="B278" s="8">
        <v>45932</v>
      </c>
      <c r="C278" t="s">
        <v>12</v>
      </c>
      <c r="D278" t="s">
        <v>40</v>
      </c>
      <c r="E278" t="s">
        <v>76</v>
      </c>
      <c r="F278" t="s">
        <v>22</v>
      </c>
      <c r="G278">
        <v>117</v>
      </c>
      <c r="H278" s="5">
        <v>356</v>
      </c>
      <c r="I278" s="5">
        <v>41652</v>
      </c>
      <c r="J278" s="6">
        <v>28391.74</v>
      </c>
      <c r="K278" s="6">
        <v>13260.26</v>
      </c>
      <c r="L278" s="5"/>
    </row>
    <row r="279" spans="1:12" x14ac:dyDescent="0.3">
      <c r="A279" t="s">
        <v>308</v>
      </c>
      <c r="B279" s="8">
        <v>45951</v>
      </c>
      <c r="C279" t="s">
        <v>12</v>
      </c>
      <c r="D279" t="s">
        <v>40</v>
      </c>
      <c r="E279" t="s">
        <v>76</v>
      </c>
      <c r="F279" t="s">
        <v>15</v>
      </c>
      <c r="G279">
        <v>262</v>
      </c>
      <c r="H279" s="5">
        <v>1099</v>
      </c>
      <c r="I279" s="5">
        <v>287938</v>
      </c>
      <c r="J279" s="6">
        <v>190400.91</v>
      </c>
      <c r="K279" s="6">
        <v>97537.09</v>
      </c>
      <c r="L279" s="5"/>
    </row>
    <row r="280" spans="1:12" x14ac:dyDescent="0.3">
      <c r="A280" t="s">
        <v>309</v>
      </c>
      <c r="B280" s="8">
        <v>45817</v>
      </c>
      <c r="C280" t="s">
        <v>31</v>
      </c>
      <c r="D280" t="s">
        <v>28</v>
      </c>
      <c r="E280" t="s">
        <v>37</v>
      </c>
      <c r="F280" t="s">
        <v>15</v>
      </c>
      <c r="G280">
        <v>180</v>
      </c>
      <c r="H280" s="5">
        <v>544</v>
      </c>
      <c r="I280" s="5">
        <v>97920</v>
      </c>
      <c r="J280" s="6">
        <v>64594.879999999997</v>
      </c>
      <c r="K280" s="6">
        <v>33325.120000000003</v>
      </c>
      <c r="L280" s="5"/>
    </row>
    <row r="281" spans="1:12" x14ac:dyDescent="0.3">
      <c r="A281" t="s">
        <v>310</v>
      </c>
      <c r="B281" s="8">
        <v>45980</v>
      </c>
      <c r="C281" t="s">
        <v>24</v>
      </c>
      <c r="D281" t="s">
        <v>13</v>
      </c>
      <c r="E281" t="s">
        <v>18</v>
      </c>
      <c r="F281" t="s">
        <v>32</v>
      </c>
      <c r="G281">
        <v>23</v>
      </c>
      <c r="H281" s="5">
        <v>1436</v>
      </c>
      <c r="I281" s="5">
        <v>33028</v>
      </c>
      <c r="J281" s="6">
        <v>27176.92</v>
      </c>
      <c r="K281" s="6">
        <v>5851.08</v>
      </c>
      <c r="L281" s="5"/>
    </row>
    <row r="282" spans="1:12" x14ac:dyDescent="0.3">
      <c r="A282" t="s">
        <v>311</v>
      </c>
      <c r="B282" s="8">
        <v>45997</v>
      </c>
      <c r="C282" t="s">
        <v>17</v>
      </c>
      <c r="D282" t="s">
        <v>25</v>
      </c>
      <c r="E282" t="s">
        <v>50</v>
      </c>
      <c r="F282" t="s">
        <v>15</v>
      </c>
      <c r="G282">
        <v>247</v>
      </c>
      <c r="H282" s="5">
        <v>892</v>
      </c>
      <c r="I282" s="5">
        <v>220324</v>
      </c>
      <c r="J282" s="6">
        <v>155282.04999999999</v>
      </c>
      <c r="K282" s="6">
        <v>65041.95</v>
      </c>
      <c r="L282" s="5"/>
    </row>
    <row r="283" spans="1:12" x14ac:dyDescent="0.3">
      <c r="A283" t="s">
        <v>312</v>
      </c>
      <c r="B283" s="8">
        <v>46006</v>
      </c>
      <c r="C283" t="s">
        <v>17</v>
      </c>
      <c r="D283" t="s">
        <v>25</v>
      </c>
      <c r="E283" t="s">
        <v>50</v>
      </c>
      <c r="F283" t="s">
        <v>22</v>
      </c>
      <c r="G283">
        <v>70</v>
      </c>
      <c r="H283" s="5">
        <v>1366</v>
      </c>
      <c r="I283" s="5">
        <v>95620</v>
      </c>
      <c r="J283" s="6">
        <v>84514.85</v>
      </c>
      <c r="K283" s="6">
        <v>11105.15</v>
      </c>
      <c r="L283" s="5"/>
    </row>
    <row r="284" spans="1:12" x14ac:dyDescent="0.3">
      <c r="A284" t="s">
        <v>313</v>
      </c>
      <c r="B284" s="8">
        <v>45834</v>
      </c>
      <c r="C284" t="s">
        <v>31</v>
      </c>
      <c r="D284" t="s">
        <v>25</v>
      </c>
      <c r="E284" t="s">
        <v>26</v>
      </c>
      <c r="F284" t="s">
        <v>32</v>
      </c>
      <c r="G284">
        <v>475</v>
      </c>
      <c r="H284" s="5">
        <v>402</v>
      </c>
      <c r="I284" s="5">
        <v>190950</v>
      </c>
      <c r="J284" s="6">
        <v>141342.96</v>
      </c>
      <c r="K284" s="6">
        <v>49607.040000000001</v>
      </c>
      <c r="L284" s="5"/>
    </row>
    <row r="285" spans="1:12" x14ac:dyDescent="0.3">
      <c r="A285" t="s">
        <v>314</v>
      </c>
      <c r="B285" s="8">
        <v>45876</v>
      </c>
      <c r="C285" t="s">
        <v>12</v>
      </c>
      <c r="D285" t="s">
        <v>13</v>
      </c>
      <c r="E285" t="s">
        <v>20</v>
      </c>
      <c r="F285" t="s">
        <v>22</v>
      </c>
      <c r="G285">
        <v>275</v>
      </c>
      <c r="H285" s="5">
        <v>1060</v>
      </c>
      <c r="I285" s="5">
        <v>291500</v>
      </c>
      <c r="J285" s="6">
        <v>195781.5</v>
      </c>
      <c r="K285" s="6">
        <v>95718.5</v>
      </c>
      <c r="L285" s="5"/>
    </row>
    <row r="286" spans="1:12" x14ac:dyDescent="0.3">
      <c r="A286" t="s">
        <v>315</v>
      </c>
      <c r="B286" s="8">
        <v>45990</v>
      </c>
      <c r="C286" t="s">
        <v>17</v>
      </c>
      <c r="D286" t="s">
        <v>40</v>
      </c>
      <c r="E286" t="s">
        <v>76</v>
      </c>
      <c r="F286" t="s">
        <v>32</v>
      </c>
      <c r="G286">
        <v>141</v>
      </c>
      <c r="H286" s="5">
        <v>930</v>
      </c>
      <c r="I286" s="5">
        <v>131130</v>
      </c>
      <c r="J286" s="6">
        <v>92837.45</v>
      </c>
      <c r="K286" s="6">
        <v>38292.550000000003</v>
      </c>
      <c r="L286" s="5"/>
    </row>
    <row r="287" spans="1:12" x14ac:dyDescent="0.3">
      <c r="A287" t="s">
        <v>316</v>
      </c>
      <c r="B287" s="8">
        <v>45801</v>
      </c>
      <c r="C287" t="s">
        <v>17</v>
      </c>
      <c r="D287" t="s">
        <v>40</v>
      </c>
      <c r="E287" t="s">
        <v>41</v>
      </c>
      <c r="F287" t="s">
        <v>32</v>
      </c>
      <c r="G287">
        <v>196</v>
      </c>
      <c r="H287" s="5">
        <v>434</v>
      </c>
      <c r="I287" s="5">
        <v>85064</v>
      </c>
      <c r="J287" s="6">
        <v>55975.519999999997</v>
      </c>
      <c r="K287" s="6">
        <v>29088.48</v>
      </c>
      <c r="L287" s="5"/>
    </row>
    <row r="288" spans="1:12" x14ac:dyDescent="0.3">
      <c r="A288" t="s">
        <v>317</v>
      </c>
      <c r="B288" s="8">
        <v>46013</v>
      </c>
      <c r="C288" t="s">
        <v>12</v>
      </c>
      <c r="D288" t="s">
        <v>40</v>
      </c>
      <c r="E288" t="s">
        <v>76</v>
      </c>
      <c r="F288" t="s">
        <v>22</v>
      </c>
      <c r="G288">
        <v>48</v>
      </c>
      <c r="H288" s="5">
        <v>1298</v>
      </c>
      <c r="I288" s="5">
        <v>62304</v>
      </c>
      <c r="J288" s="6">
        <v>53714.58</v>
      </c>
      <c r="K288" s="6">
        <v>8589.42</v>
      </c>
      <c r="L288" s="5"/>
    </row>
    <row r="289" spans="1:12" x14ac:dyDescent="0.3">
      <c r="A289" t="s">
        <v>318</v>
      </c>
      <c r="B289" s="8">
        <v>45824</v>
      </c>
      <c r="C289" t="s">
        <v>12</v>
      </c>
      <c r="D289" t="s">
        <v>13</v>
      </c>
      <c r="E289" t="s">
        <v>20</v>
      </c>
      <c r="F289" t="s">
        <v>15</v>
      </c>
      <c r="G289">
        <v>188</v>
      </c>
      <c r="H289" s="5">
        <v>1048</v>
      </c>
      <c r="I289" s="5">
        <v>197024</v>
      </c>
      <c r="J289" s="6">
        <v>176954.64</v>
      </c>
      <c r="K289" s="6">
        <v>20069.36</v>
      </c>
      <c r="L289" s="5"/>
    </row>
    <row r="290" spans="1:12" x14ac:dyDescent="0.3">
      <c r="A290" t="s">
        <v>319</v>
      </c>
      <c r="B290" s="8">
        <v>45831</v>
      </c>
      <c r="C290" t="s">
        <v>31</v>
      </c>
      <c r="D290" t="s">
        <v>25</v>
      </c>
      <c r="E290" t="s">
        <v>26</v>
      </c>
      <c r="F290" t="s">
        <v>22</v>
      </c>
      <c r="G290">
        <v>131</v>
      </c>
      <c r="H290" s="5">
        <v>1109</v>
      </c>
      <c r="I290" s="5">
        <v>145279</v>
      </c>
      <c r="J290" s="6">
        <v>102815.87</v>
      </c>
      <c r="K290" s="6">
        <v>42463.13</v>
      </c>
      <c r="L290" s="5"/>
    </row>
    <row r="291" spans="1:12" x14ac:dyDescent="0.3">
      <c r="A291" t="s">
        <v>320</v>
      </c>
      <c r="B291" s="8">
        <v>45834</v>
      </c>
      <c r="C291" t="s">
        <v>12</v>
      </c>
      <c r="D291" t="s">
        <v>40</v>
      </c>
      <c r="E291" t="s">
        <v>41</v>
      </c>
      <c r="F291" t="s">
        <v>15</v>
      </c>
      <c r="G291">
        <v>496</v>
      </c>
      <c r="H291" s="5">
        <v>986</v>
      </c>
      <c r="I291" s="5">
        <v>489056</v>
      </c>
      <c r="J291" s="6">
        <v>372780.77</v>
      </c>
      <c r="K291" s="6">
        <v>116275.23</v>
      </c>
      <c r="L291" s="5"/>
    </row>
    <row r="292" spans="1:12" x14ac:dyDescent="0.3">
      <c r="A292" t="s">
        <v>321</v>
      </c>
      <c r="B292" s="8">
        <v>45681</v>
      </c>
      <c r="C292" t="s">
        <v>17</v>
      </c>
      <c r="D292" t="s">
        <v>13</v>
      </c>
      <c r="E292" t="s">
        <v>14</v>
      </c>
      <c r="F292" t="s">
        <v>22</v>
      </c>
      <c r="G292">
        <v>499</v>
      </c>
      <c r="H292" s="5">
        <v>563</v>
      </c>
      <c r="I292" s="5">
        <v>280937</v>
      </c>
      <c r="J292" s="6">
        <v>229358.2</v>
      </c>
      <c r="K292" s="6">
        <v>51578.8</v>
      </c>
      <c r="L292" s="5"/>
    </row>
    <row r="293" spans="1:12" x14ac:dyDescent="0.3">
      <c r="A293" t="s">
        <v>322</v>
      </c>
      <c r="B293" s="8">
        <v>45737</v>
      </c>
      <c r="C293" t="s">
        <v>24</v>
      </c>
      <c r="D293" t="s">
        <v>13</v>
      </c>
      <c r="E293" t="s">
        <v>14</v>
      </c>
      <c r="F293" t="s">
        <v>15</v>
      </c>
      <c r="G293">
        <v>349</v>
      </c>
      <c r="H293" s="5">
        <v>420</v>
      </c>
      <c r="I293" s="5">
        <v>146580</v>
      </c>
      <c r="J293" s="6">
        <v>109245.59</v>
      </c>
      <c r="K293" s="6">
        <v>37334.410000000003</v>
      </c>
      <c r="L293" s="5"/>
    </row>
    <row r="294" spans="1:12" x14ac:dyDescent="0.3">
      <c r="A294" t="s">
        <v>323</v>
      </c>
      <c r="B294" s="8">
        <v>45998</v>
      </c>
      <c r="C294" t="s">
        <v>12</v>
      </c>
      <c r="D294" t="s">
        <v>13</v>
      </c>
      <c r="E294" t="s">
        <v>14</v>
      </c>
      <c r="F294" t="s">
        <v>15</v>
      </c>
      <c r="G294">
        <v>255</v>
      </c>
      <c r="H294" s="5">
        <v>1296</v>
      </c>
      <c r="I294" s="5">
        <v>330480</v>
      </c>
      <c r="J294" s="6">
        <v>275492.21000000002</v>
      </c>
      <c r="K294" s="6">
        <v>54987.79</v>
      </c>
      <c r="L294" s="5"/>
    </row>
    <row r="295" spans="1:12" x14ac:dyDescent="0.3">
      <c r="A295" t="s">
        <v>324</v>
      </c>
      <c r="B295" s="8">
        <v>45734</v>
      </c>
      <c r="C295" t="s">
        <v>12</v>
      </c>
      <c r="D295" t="s">
        <v>40</v>
      </c>
      <c r="E295" t="s">
        <v>41</v>
      </c>
      <c r="F295" t="s">
        <v>22</v>
      </c>
      <c r="G295">
        <v>219</v>
      </c>
      <c r="H295" s="5">
        <v>789</v>
      </c>
      <c r="I295" s="5">
        <v>172791</v>
      </c>
      <c r="J295" s="6">
        <v>148882.28</v>
      </c>
      <c r="K295" s="6">
        <v>23908.720000000001</v>
      </c>
      <c r="L295" s="5"/>
    </row>
    <row r="296" spans="1:12" x14ac:dyDescent="0.3">
      <c r="A296" t="s">
        <v>325</v>
      </c>
      <c r="B296" s="8">
        <v>45822</v>
      </c>
      <c r="C296" t="s">
        <v>24</v>
      </c>
      <c r="D296" t="s">
        <v>13</v>
      </c>
      <c r="E296" t="s">
        <v>20</v>
      </c>
      <c r="F296" t="s">
        <v>22</v>
      </c>
      <c r="G296">
        <v>258</v>
      </c>
      <c r="H296" s="5">
        <v>880</v>
      </c>
      <c r="I296" s="5">
        <v>227040</v>
      </c>
      <c r="J296" s="6">
        <v>179499.99</v>
      </c>
      <c r="K296" s="6">
        <v>47540.01</v>
      </c>
      <c r="L296" s="5"/>
    </row>
    <row r="297" spans="1:12" x14ac:dyDescent="0.3">
      <c r="A297" t="s">
        <v>326</v>
      </c>
      <c r="B297" s="8">
        <v>45746</v>
      </c>
      <c r="C297" t="s">
        <v>12</v>
      </c>
      <c r="D297" t="s">
        <v>40</v>
      </c>
      <c r="E297" t="s">
        <v>41</v>
      </c>
      <c r="F297" t="s">
        <v>15</v>
      </c>
      <c r="G297">
        <v>88</v>
      </c>
      <c r="H297" s="5">
        <v>1163</v>
      </c>
      <c r="I297" s="5">
        <v>102344</v>
      </c>
      <c r="J297" s="6">
        <v>69023.98</v>
      </c>
      <c r="K297" s="6">
        <v>33320.019999999997</v>
      </c>
      <c r="L297" s="5"/>
    </row>
    <row r="298" spans="1:12" x14ac:dyDescent="0.3">
      <c r="A298" t="s">
        <v>327</v>
      </c>
      <c r="B298" s="8">
        <v>45766</v>
      </c>
      <c r="C298" t="s">
        <v>17</v>
      </c>
      <c r="D298" t="s">
        <v>40</v>
      </c>
      <c r="E298" t="s">
        <v>41</v>
      </c>
      <c r="F298" t="s">
        <v>32</v>
      </c>
      <c r="G298">
        <v>105</v>
      </c>
      <c r="H298" s="5">
        <v>941</v>
      </c>
      <c r="I298" s="5">
        <v>98805</v>
      </c>
      <c r="J298" s="6">
        <v>73205.429999999993</v>
      </c>
      <c r="K298" s="6">
        <v>25599.57</v>
      </c>
      <c r="L298" s="5"/>
    </row>
    <row r="299" spans="1:12" x14ac:dyDescent="0.3">
      <c r="A299" t="s">
        <v>328</v>
      </c>
      <c r="B299" s="8">
        <v>45888</v>
      </c>
      <c r="C299" t="s">
        <v>17</v>
      </c>
      <c r="D299" t="s">
        <v>40</v>
      </c>
      <c r="E299" t="s">
        <v>76</v>
      </c>
      <c r="F299" t="s">
        <v>15</v>
      </c>
      <c r="G299">
        <v>405</v>
      </c>
      <c r="H299" s="5">
        <v>1478</v>
      </c>
      <c r="I299" s="5">
        <v>598590</v>
      </c>
      <c r="J299" s="6">
        <v>515115.92</v>
      </c>
      <c r="K299" s="6">
        <v>83474.080000000002</v>
      </c>
      <c r="L299" s="5"/>
    </row>
    <row r="300" spans="1:12" x14ac:dyDescent="0.3">
      <c r="A300" t="s">
        <v>329</v>
      </c>
      <c r="B300" s="8">
        <v>45669</v>
      </c>
      <c r="C300" t="s">
        <v>31</v>
      </c>
      <c r="D300" t="s">
        <v>25</v>
      </c>
      <c r="E300" t="s">
        <v>26</v>
      </c>
      <c r="F300" t="s">
        <v>15</v>
      </c>
      <c r="G300">
        <v>172</v>
      </c>
      <c r="H300" s="5">
        <v>1134</v>
      </c>
      <c r="I300" s="5">
        <v>195048</v>
      </c>
      <c r="J300" s="6">
        <v>167069</v>
      </c>
      <c r="K300" s="6">
        <v>27979</v>
      </c>
      <c r="L300" s="5"/>
    </row>
    <row r="301" spans="1:12" x14ac:dyDescent="0.3">
      <c r="A301" t="s">
        <v>330</v>
      </c>
      <c r="B301" s="8">
        <v>45663</v>
      </c>
      <c r="C301" t="s">
        <v>12</v>
      </c>
      <c r="D301" t="s">
        <v>28</v>
      </c>
      <c r="E301" t="s">
        <v>29</v>
      </c>
      <c r="F301" t="s">
        <v>32</v>
      </c>
      <c r="G301">
        <v>65</v>
      </c>
      <c r="H301" s="5">
        <v>430</v>
      </c>
      <c r="I301" s="5">
        <v>27950</v>
      </c>
      <c r="J301" s="6">
        <v>20127.18</v>
      </c>
      <c r="K301" s="6">
        <v>7822.82</v>
      </c>
      <c r="L301" s="5"/>
    </row>
  </sheetData>
  <autoFilter ref="A1:L301" xr:uid="{00000000-0001-0000-0000-000000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I3" sqref="I3"/>
    </sheetView>
  </sheetViews>
  <sheetFormatPr defaultRowHeight="14.4" x14ac:dyDescent="0.3"/>
  <cols>
    <col min="1" max="1" width="10" customWidth="1"/>
    <col min="2" max="2" width="18" customWidth="1"/>
    <col min="3" max="3" width="29" customWidth="1"/>
    <col min="4" max="4" width="20" customWidth="1"/>
    <col min="5" max="5" width="22" customWidth="1"/>
    <col min="6" max="6" width="19" customWidth="1"/>
    <col min="7" max="7" width="20" customWidth="1"/>
  </cols>
  <sheetData>
    <row r="1" spans="1:7" x14ac:dyDescent="0.3">
      <c r="A1" s="1" t="s">
        <v>331</v>
      </c>
      <c r="B1" s="1" t="s">
        <v>332</v>
      </c>
      <c r="C1" s="1" t="s">
        <v>333</v>
      </c>
      <c r="D1" s="1" t="s">
        <v>334</v>
      </c>
      <c r="E1" s="1" t="s">
        <v>335</v>
      </c>
      <c r="F1" s="1" t="s">
        <v>336</v>
      </c>
      <c r="G1" s="1" t="s">
        <v>337</v>
      </c>
    </row>
    <row r="2" spans="1:7" x14ac:dyDescent="0.3">
      <c r="A2" t="s">
        <v>338</v>
      </c>
      <c r="B2" t="s">
        <v>339</v>
      </c>
      <c r="C2" t="s">
        <v>13</v>
      </c>
      <c r="D2">
        <v>357</v>
      </c>
      <c r="E2">
        <v>3.8</v>
      </c>
      <c r="F2">
        <v>9</v>
      </c>
      <c r="G2">
        <v>201775</v>
      </c>
    </row>
    <row r="3" spans="1:7" x14ac:dyDescent="0.3">
      <c r="A3" t="s">
        <v>338</v>
      </c>
      <c r="B3" t="s">
        <v>340</v>
      </c>
      <c r="C3" t="s">
        <v>25</v>
      </c>
      <c r="D3">
        <v>262</v>
      </c>
      <c r="E3">
        <v>4.51</v>
      </c>
      <c r="F3">
        <v>37</v>
      </c>
      <c r="G3">
        <v>269139</v>
      </c>
    </row>
    <row r="4" spans="1:7" x14ac:dyDescent="0.3">
      <c r="A4" t="s">
        <v>338</v>
      </c>
      <c r="B4" t="s">
        <v>340</v>
      </c>
      <c r="C4" t="s">
        <v>40</v>
      </c>
      <c r="D4">
        <v>572</v>
      </c>
      <c r="E4">
        <v>2.46</v>
      </c>
      <c r="F4">
        <v>15</v>
      </c>
      <c r="G4">
        <v>105236</v>
      </c>
    </row>
    <row r="5" spans="1:7" x14ac:dyDescent="0.3">
      <c r="A5" t="s">
        <v>338</v>
      </c>
      <c r="B5" t="s">
        <v>339</v>
      </c>
      <c r="C5" t="s">
        <v>28</v>
      </c>
      <c r="D5">
        <v>879</v>
      </c>
      <c r="E5">
        <v>3.8</v>
      </c>
      <c r="F5">
        <v>22</v>
      </c>
      <c r="G5">
        <v>188947</v>
      </c>
    </row>
    <row r="6" spans="1:7" x14ac:dyDescent="0.3">
      <c r="A6" t="s">
        <v>341</v>
      </c>
      <c r="B6" t="s">
        <v>339</v>
      </c>
      <c r="C6" t="s">
        <v>13</v>
      </c>
      <c r="D6">
        <v>490</v>
      </c>
      <c r="E6">
        <v>2.11</v>
      </c>
      <c r="F6">
        <v>39</v>
      </c>
      <c r="G6">
        <v>205591</v>
      </c>
    </row>
    <row r="7" spans="1:7" x14ac:dyDescent="0.3">
      <c r="A7" t="s">
        <v>341</v>
      </c>
      <c r="B7" t="s">
        <v>340</v>
      </c>
      <c r="C7" t="s">
        <v>25</v>
      </c>
      <c r="D7">
        <v>735</v>
      </c>
      <c r="E7">
        <v>4.07</v>
      </c>
      <c r="F7">
        <v>24</v>
      </c>
      <c r="G7">
        <v>407276</v>
      </c>
    </row>
    <row r="8" spans="1:7" x14ac:dyDescent="0.3">
      <c r="A8" t="s">
        <v>341</v>
      </c>
      <c r="B8" t="s">
        <v>340</v>
      </c>
      <c r="C8" t="s">
        <v>40</v>
      </c>
      <c r="D8">
        <v>995</v>
      </c>
      <c r="E8">
        <v>3.58</v>
      </c>
      <c r="F8">
        <v>46</v>
      </c>
      <c r="G8">
        <v>375699</v>
      </c>
    </row>
    <row r="9" spans="1:7" x14ac:dyDescent="0.3">
      <c r="A9" t="s">
        <v>341</v>
      </c>
      <c r="B9" t="s">
        <v>339</v>
      </c>
      <c r="C9" t="s">
        <v>28</v>
      </c>
      <c r="D9">
        <v>824</v>
      </c>
      <c r="E9">
        <v>3.21</v>
      </c>
      <c r="F9">
        <v>42</v>
      </c>
      <c r="G9">
        <v>254995</v>
      </c>
    </row>
    <row r="10" spans="1:7" x14ac:dyDescent="0.3">
      <c r="A10" t="s">
        <v>342</v>
      </c>
      <c r="B10" t="s">
        <v>340</v>
      </c>
      <c r="C10" t="s">
        <v>13</v>
      </c>
      <c r="D10">
        <v>740</v>
      </c>
      <c r="E10">
        <v>0.62</v>
      </c>
      <c r="F10">
        <v>8</v>
      </c>
      <c r="G10">
        <v>332324</v>
      </c>
    </row>
    <row r="11" spans="1:7" x14ac:dyDescent="0.3">
      <c r="A11" t="s">
        <v>342</v>
      </c>
      <c r="B11" t="s">
        <v>340</v>
      </c>
      <c r="C11" t="s">
        <v>25</v>
      </c>
      <c r="D11">
        <v>955</v>
      </c>
      <c r="E11">
        <v>2.2400000000000002</v>
      </c>
      <c r="F11">
        <v>5</v>
      </c>
      <c r="G11">
        <v>377740</v>
      </c>
    </row>
    <row r="12" spans="1:7" x14ac:dyDescent="0.3">
      <c r="A12" t="s">
        <v>342</v>
      </c>
      <c r="B12" t="s">
        <v>340</v>
      </c>
      <c r="C12" t="s">
        <v>40</v>
      </c>
      <c r="D12">
        <v>398</v>
      </c>
      <c r="E12">
        <v>3.55</v>
      </c>
      <c r="F12">
        <v>20</v>
      </c>
      <c r="G12">
        <v>306490</v>
      </c>
    </row>
    <row r="13" spans="1:7" x14ac:dyDescent="0.3">
      <c r="A13" t="s">
        <v>342</v>
      </c>
      <c r="B13" t="s">
        <v>340</v>
      </c>
      <c r="C13" t="s">
        <v>28</v>
      </c>
      <c r="D13">
        <v>654</v>
      </c>
      <c r="E13">
        <v>3.52</v>
      </c>
      <c r="F13">
        <v>6</v>
      </c>
      <c r="G13">
        <v>294076</v>
      </c>
    </row>
    <row r="14" spans="1:7" x14ac:dyDescent="0.3">
      <c r="A14" t="s">
        <v>343</v>
      </c>
      <c r="B14" t="s">
        <v>339</v>
      </c>
      <c r="C14" t="s">
        <v>13</v>
      </c>
      <c r="D14">
        <v>389</v>
      </c>
      <c r="E14">
        <v>0.53</v>
      </c>
      <c r="F14">
        <v>47</v>
      </c>
      <c r="G14">
        <v>126470</v>
      </c>
    </row>
    <row r="15" spans="1:7" x14ac:dyDescent="0.3">
      <c r="A15" t="s">
        <v>343</v>
      </c>
      <c r="B15" t="s">
        <v>340</v>
      </c>
      <c r="C15" t="s">
        <v>25</v>
      </c>
      <c r="D15">
        <v>366</v>
      </c>
      <c r="E15">
        <v>1.93</v>
      </c>
      <c r="F15">
        <v>48</v>
      </c>
      <c r="G15">
        <v>263173</v>
      </c>
    </row>
    <row r="16" spans="1:7" x14ac:dyDescent="0.3">
      <c r="A16" t="s">
        <v>343</v>
      </c>
      <c r="B16" t="s">
        <v>339</v>
      </c>
      <c r="C16" t="s">
        <v>40</v>
      </c>
      <c r="D16">
        <v>164</v>
      </c>
      <c r="E16">
        <v>1.02</v>
      </c>
      <c r="F16">
        <v>25</v>
      </c>
      <c r="G16">
        <v>479120</v>
      </c>
    </row>
    <row r="17" spans="1:7" x14ac:dyDescent="0.3">
      <c r="A17" t="s">
        <v>343</v>
      </c>
      <c r="B17" t="s">
        <v>339</v>
      </c>
      <c r="C17" t="s">
        <v>28</v>
      </c>
      <c r="D17">
        <v>358</v>
      </c>
      <c r="E17">
        <v>3.93</v>
      </c>
      <c r="F17">
        <v>23</v>
      </c>
      <c r="G17">
        <v>336010</v>
      </c>
    </row>
    <row r="18" spans="1:7" x14ac:dyDescent="0.3">
      <c r="A18" t="s">
        <v>344</v>
      </c>
      <c r="B18" t="s">
        <v>340</v>
      </c>
      <c r="C18" t="s">
        <v>13</v>
      </c>
      <c r="D18">
        <v>916</v>
      </c>
      <c r="E18">
        <v>0.68</v>
      </c>
      <c r="F18">
        <v>42</v>
      </c>
      <c r="G18">
        <v>411234</v>
      </c>
    </row>
    <row r="19" spans="1:7" x14ac:dyDescent="0.3">
      <c r="A19" t="s">
        <v>344</v>
      </c>
      <c r="B19" t="s">
        <v>339</v>
      </c>
      <c r="C19" t="s">
        <v>25</v>
      </c>
      <c r="D19">
        <v>601</v>
      </c>
      <c r="E19">
        <v>0.62</v>
      </c>
      <c r="F19">
        <v>37</v>
      </c>
      <c r="G19">
        <v>381008</v>
      </c>
    </row>
    <row r="20" spans="1:7" x14ac:dyDescent="0.3">
      <c r="A20" t="s">
        <v>344</v>
      </c>
      <c r="B20" t="s">
        <v>339</v>
      </c>
      <c r="C20" t="s">
        <v>40</v>
      </c>
      <c r="D20">
        <v>275</v>
      </c>
      <c r="E20">
        <v>2.99</v>
      </c>
      <c r="F20">
        <v>49</v>
      </c>
      <c r="G20">
        <v>454099</v>
      </c>
    </row>
    <row r="21" spans="1:7" x14ac:dyDescent="0.3">
      <c r="A21" t="s">
        <v>344</v>
      </c>
      <c r="B21" t="s">
        <v>340</v>
      </c>
      <c r="C21" t="s">
        <v>28</v>
      </c>
      <c r="D21">
        <v>374</v>
      </c>
      <c r="E21">
        <v>4.1399999999999997</v>
      </c>
      <c r="F21">
        <v>36</v>
      </c>
      <c r="G21">
        <v>199358</v>
      </c>
    </row>
    <row r="22" spans="1:7" x14ac:dyDescent="0.3">
      <c r="A22" t="s">
        <v>345</v>
      </c>
      <c r="B22" t="s">
        <v>340</v>
      </c>
      <c r="C22" t="s">
        <v>13</v>
      </c>
      <c r="D22">
        <v>905</v>
      </c>
      <c r="E22">
        <v>3.01</v>
      </c>
      <c r="F22">
        <v>7</v>
      </c>
      <c r="G22">
        <v>494899</v>
      </c>
    </row>
    <row r="23" spans="1:7" x14ac:dyDescent="0.3">
      <c r="A23" t="s">
        <v>345</v>
      </c>
      <c r="B23" t="s">
        <v>339</v>
      </c>
      <c r="C23" t="s">
        <v>25</v>
      </c>
      <c r="D23">
        <v>627</v>
      </c>
      <c r="E23">
        <v>4.53</v>
      </c>
      <c r="F23">
        <v>9</v>
      </c>
      <c r="G23">
        <v>112289</v>
      </c>
    </row>
    <row r="24" spans="1:7" x14ac:dyDescent="0.3">
      <c r="A24" t="s">
        <v>345</v>
      </c>
      <c r="B24" t="s">
        <v>340</v>
      </c>
      <c r="C24" t="s">
        <v>40</v>
      </c>
      <c r="D24">
        <v>110</v>
      </c>
      <c r="E24">
        <v>2.04</v>
      </c>
      <c r="F24">
        <v>30</v>
      </c>
      <c r="G24">
        <v>437017</v>
      </c>
    </row>
    <row r="25" spans="1:7" x14ac:dyDescent="0.3">
      <c r="A25" t="s">
        <v>345</v>
      </c>
      <c r="B25" t="s">
        <v>339</v>
      </c>
      <c r="C25" t="s">
        <v>28</v>
      </c>
      <c r="D25">
        <v>971</v>
      </c>
      <c r="E25">
        <v>2.76</v>
      </c>
      <c r="F25">
        <v>46</v>
      </c>
      <c r="G25">
        <v>194217</v>
      </c>
    </row>
    <row r="26" spans="1:7" x14ac:dyDescent="0.3">
      <c r="A26" t="s">
        <v>346</v>
      </c>
      <c r="B26" t="s">
        <v>339</v>
      </c>
      <c r="C26" t="s">
        <v>13</v>
      </c>
      <c r="D26">
        <v>809</v>
      </c>
      <c r="E26">
        <v>2.8</v>
      </c>
      <c r="F26">
        <v>48</v>
      </c>
      <c r="G26">
        <v>407519</v>
      </c>
    </row>
    <row r="27" spans="1:7" x14ac:dyDescent="0.3">
      <c r="A27" t="s">
        <v>346</v>
      </c>
      <c r="B27" t="s">
        <v>340</v>
      </c>
      <c r="C27" t="s">
        <v>25</v>
      </c>
      <c r="D27">
        <v>816</v>
      </c>
      <c r="E27">
        <v>1.1599999999999999</v>
      </c>
      <c r="F27">
        <v>22</v>
      </c>
      <c r="G27">
        <v>374408</v>
      </c>
    </row>
    <row r="28" spans="1:7" x14ac:dyDescent="0.3">
      <c r="A28" t="s">
        <v>346</v>
      </c>
      <c r="B28" t="s">
        <v>339</v>
      </c>
      <c r="C28" t="s">
        <v>40</v>
      </c>
      <c r="D28">
        <v>972</v>
      </c>
      <c r="E28">
        <v>1.01</v>
      </c>
      <c r="F28">
        <v>24</v>
      </c>
      <c r="G28">
        <v>202689</v>
      </c>
    </row>
    <row r="29" spans="1:7" x14ac:dyDescent="0.3">
      <c r="A29" t="s">
        <v>346</v>
      </c>
      <c r="B29" t="s">
        <v>339</v>
      </c>
      <c r="C29" t="s">
        <v>28</v>
      </c>
      <c r="D29">
        <v>864</v>
      </c>
      <c r="E29">
        <v>3.34</v>
      </c>
      <c r="F29">
        <v>20</v>
      </c>
      <c r="G29">
        <v>472507</v>
      </c>
    </row>
    <row r="30" spans="1:7" x14ac:dyDescent="0.3">
      <c r="A30" t="s">
        <v>347</v>
      </c>
      <c r="B30" t="s">
        <v>340</v>
      </c>
      <c r="C30" t="s">
        <v>13</v>
      </c>
      <c r="D30">
        <v>808</v>
      </c>
      <c r="E30">
        <v>3.27</v>
      </c>
      <c r="F30">
        <v>30</v>
      </c>
      <c r="G30">
        <v>284320</v>
      </c>
    </row>
    <row r="31" spans="1:7" x14ac:dyDescent="0.3">
      <c r="A31" t="s">
        <v>347</v>
      </c>
      <c r="B31" t="s">
        <v>339</v>
      </c>
      <c r="C31" t="s">
        <v>25</v>
      </c>
      <c r="D31">
        <v>852</v>
      </c>
      <c r="E31">
        <v>1.1299999999999999</v>
      </c>
      <c r="F31">
        <v>33</v>
      </c>
      <c r="G31">
        <v>107544</v>
      </c>
    </row>
    <row r="32" spans="1:7" x14ac:dyDescent="0.3">
      <c r="A32" t="s">
        <v>347</v>
      </c>
      <c r="B32" t="s">
        <v>339</v>
      </c>
      <c r="C32" t="s">
        <v>40</v>
      </c>
      <c r="D32">
        <v>869</v>
      </c>
      <c r="E32">
        <v>1.75</v>
      </c>
      <c r="F32">
        <v>15</v>
      </c>
      <c r="G32">
        <v>136340</v>
      </c>
    </row>
    <row r="33" spans="1:7" x14ac:dyDescent="0.3">
      <c r="A33" t="s">
        <v>347</v>
      </c>
      <c r="B33" t="s">
        <v>340</v>
      </c>
      <c r="C33" t="s">
        <v>28</v>
      </c>
      <c r="D33">
        <v>683</v>
      </c>
      <c r="E33">
        <v>0.92</v>
      </c>
      <c r="F33">
        <v>47</v>
      </c>
      <c r="G33">
        <v>449046</v>
      </c>
    </row>
    <row r="34" spans="1:7" x14ac:dyDescent="0.3">
      <c r="A34" t="s">
        <v>348</v>
      </c>
      <c r="B34" t="s">
        <v>340</v>
      </c>
      <c r="C34" t="s">
        <v>13</v>
      </c>
      <c r="D34">
        <v>963</v>
      </c>
      <c r="E34">
        <v>4.42</v>
      </c>
      <c r="F34">
        <v>24</v>
      </c>
      <c r="G34">
        <v>320414</v>
      </c>
    </row>
    <row r="35" spans="1:7" x14ac:dyDescent="0.3">
      <c r="A35" t="s">
        <v>348</v>
      </c>
      <c r="B35" t="s">
        <v>339</v>
      </c>
      <c r="C35" t="s">
        <v>25</v>
      </c>
      <c r="D35">
        <v>618</v>
      </c>
      <c r="E35">
        <v>4.26</v>
      </c>
      <c r="F35">
        <v>22</v>
      </c>
      <c r="G35">
        <v>171744</v>
      </c>
    </row>
    <row r="36" spans="1:7" x14ac:dyDescent="0.3">
      <c r="A36" t="s">
        <v>348</v>
      </c>
      <c r="B36" t="s">
        <v>339</v>
      </c>
      <c r="C36" t="s">
        <v>40</v>
      </c>
      <c r="D36">
        <v>281</v>
      </c>
      <c r="E36">
        <v>3.61</v>
      </c>
      <c r="F36">
        <v>19</v>
      </c>
      <c r="G36">
        <v>363173</v>
      </c>
    </row>
    <row r="37" spans="1:7" x14ac:dyDescent="0.3">
      <c r="A37" t="s">
        <v>348</v>
      </c>
      <c r="B37" t="s">
        <v>339</v>
      </c>
      <c r="C37" t="s">
        <v>28</v>
      </c>
      <c r="D37">
        <v>361</v>
      </c>
      <c r="E37">
        <v>0.56000000000000005</v>
      </c>
      <c r="F37">
        <v>38</v>
      </c>
      <c r="G37">
        <v>285016</v>
      </c>
    </row>
    <row r="38" spans="1:7" x14ac:dyDescent="0.3">
      <c r="A38" t="s">
        <v>349</v>
      </c>
      <c r="B38" t="s">
        <v>340</v>
      </c>
      <c r="C38" t="s">
        <v>13</v>
      </c>
      <c r="D38">
        <v>671</v>
      </c>
      <c r="E38">
        <v>0.61</v>
      </c>
      <c r="F38">
        <v>9</v>
      </c>
      <c r="G38">
        <v>298888</v>
      </c>
    </row>
    <row r="39" spans="1:7" x14ac:dyDescent="0.3">
      <c r="A39" t="s">
        <v>349</v>
      </c>
      <c r="B39" t="s">
        <v>340</v>
      </c>
      <c r="C39" t="s">
        <v>25</v>
      </c>
      <c r="D39">
        <v>830</v>
      </c>
      <c r="E39">
        <v>2.66</v>
      </c>
      <c r="F39">
        <v>24</v>
      </c>
      <c r="G39">
        <v>200368</v>
      </c>
    </row>
    <row r="40" spans="1:7" x14ac:dyDescent="0.3">
      <c r="A40" t="s">
        <v>349</v>
      </c>
      <c r="B40" t="s">
        <v>339</v>
      </c>
      <c r="C40" t="s">
        <v>40</v>
      </c>
      <c r="D40">
        <v>815</v>
      </c>
      <c r="E40">
        <v>4.41</v>
      </c>
      <c r="F40">
        <v>32</v>
      </c>
      <c r="G40">
        <v>196680</v>
      </c>
    </row>
    <row r="41" spans="1:7" x14ac:dyDescent="0.3">
      <c r="A41" t="s">
        <v>349</v>
      </c>
      <c r="B41" t="s">
        <v>340</v>
      </c>
      <c r="C41" t="s">
        <v>28</v>
      </c>
      <c r="D41">
        <v>862</v>
      </c>
      <c r="E41">
        <v>1.67</v>
      </c>
      <c r="F41">
        <v>19</v>
      </c>
      <c r="G41">
        <v>496008</v>
      </c>
    </row>
    <row r="42" spans="1:7" x14ac:dyDescent="0.3">
      <c r="A42" t="s">
        <v>350</v>
      </c>
      <c r="B42" t="s">
        <v>339</v>
      </c>
      <c r="C42" t="s">
        <v>13</v>
      </c>
      <c r="D42">
        <v>728</v>
      </c>
      <c r="E42">
        <v>3.07</v>
      </c>
      <c r="F42">
        <v>16</v>
      </c>
      <c r="G42">
        <v>146665</v>
      </c>
    </row>
    <row r="43" spans="1:7" x14ac:dyDescent="0.3">
      <c r="A43" t="s">
        <v>350</v>
      </c>
      <c r="B43" t="s">
        <v>340</v>
      </c>
      <c r="C43" t="s">
        <v>25</v>
      </c>
      <c r="D43">
        <v>765</v>
      </c>
      <c r="E43">
        <v>4.76</v>
      </c>
      <c r="F43">
        <v>44</v>
      </c>
      <c r="G43">
        <v>100003</v>
      </c>
    </row>
    <row r="44" spans="1:7" x14ac:dyDescent="0.3">
      <c r="A44" t="s">
        <v>350</v>
      </c>
      <c r="B44" t="s">
        <v>340</v>
      </c>
      <c r="C44" t="s">
        <v>40</v>
      </c>
      <c r="D44">
        <v>475</v>
      </c>
      <c r="E44">
        <v>0.94</v>
      </c>
      <c r="F44">
        <v>32</v>
      </c>
      <c r="G44">
        <v>458333</v>
      </c>
    </row>
    <row r="45" spans="1:7" x14ac:dyDescent="0.3">
      <c r="A45" t="s">
        <v>350</v>
      </c>
      <c r="B45" t="s">
        <v>339</v>
      </c>
      <c r="C45" t="s">
        <v>28</v>
      </c>
      <c r="D45">
        <v>294</v>
      </c>
      <c r="E45">
        <v>2.96</v>
      </c>
      <c r="F45">
        <v>12</v>
      </c>
      <c r="G45">
        <v>408040</v>
      </c>
    </row>
    <row r="46" spans="1:7" x14ac:dyDescent="0.3">
      <c r="A46" t="s">
        <v>351</v>
      </c>
      <c r="B46" t="s">
        <v>339</v>
      </c>
      <c r="C46" t="s">
        <v>13</v>
      </c>
      <c r="D46">
        <v>316</v>
      </c>
      <c r="E46">
        <v>3.66</v>
      </c>
      <c r="F46">
        <v>13</v>
      </c>
      <c r="G46">
        <v>335822</v>
      </c>
    </row>
    <row r="47" spans="1:7" x14ac:dyDescent="0.3">
      <c r="A47" t="s">
        <v>351</v>
      </c>
      <c r="B47" t="s">
        <v>339</v>
      </c>
      <c r="C47" t="s">
        <v>25</v>
      </c>
      <c r="D47">
        <v>989</v>
      </c>
      <c r="E47">
        <v>1.93</v>
      </c>
      <c r="F47">
        <v>48</v>
      </c>
      <c r="G47">
        <v>490129</v>
      </c>
    </row>
    <row r="48" spans="1:7" x14ac:dyDescent="0.3">
      <c r="A48" t="s">
        <v>351</v>
      </c>
      <c r="B48" t="s">
        <v>339</v>
      </c>
      <c r="C48" t="s">
        <v>40</v>
      </c>
      <c r="D48">
        <v>405</v>
      </c>
      <c r="E48">
        <v>1.74</v>
      </c>
      <c r="F48">
        <v>26</v>
      </c>
      <c r="G48">
        <v>290606</v>
      </c>
    </row>
    <row r="49" spans="1:7" x14ac:dyDescent="0.3">
      <c r="A49" t="s">
        <v>351</v>
      </c>
      <c r="B49" t="s">
        <v>339</v>
      </c>
      <c r="C49" t="s">
        <v>28</v>
      </c>
      <c r="D49">
        <v>860</v>
      </c>
      <c r="E49">
        <v>2.82</v>
      </c>
      <c r="F49">
        <v>6</v>
      </c>
      <c r="G49">
        <v>294426</v>
      </c>
    </row>
  </sheetData>
  <autoFilter ref="A1:G49" xr:uid="{00000000-0001-0000-0200-000000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1"/>
  <sheetViews>
    <sheetView workbookViewId="0">
      <selection activeCell="F1" sqref="F1"/>
    </sheetView>
  </sheetViews>
  <sheetFormatPr defaultRowHeight="14.4" x14ac:dyDescent="0.3"/>
  <cols>
    <col min="1" max="1" width="16" customWidth="1"/>
    <col min="2" max="2" width="19" customWidth="1"/>
    <col min="3" max="3" width="11" customWidth="1"/>
    <col min="4" max="4" width="17" customWidth="1"/>
    <col min="5" max="5" width="18" customWidth="1"/>
    <col min="6" max="6" width="20" customWidth="1"/>
  </cols>
  <sheetData>
    <row r="1" spans="1:6" x14ac:dyDescent="0.3">
      <c r="A1" s="1" t="s">
        <v>352</v>
      </c>
      <c r="B1" s="1" t="s">
        <v>353</v>
      </c>
      <c r="C1" s="1" t="s">
        <v>2</v>
      </c>
      <c r="D1" s="1" t="s">
        <v>354</v>
      </c>
      <c r="E1" s="1" t="s">
        <v>355</v>
      </c>
      <c r="F1" s="1" t="s">
        <v>356</v>
      </c>
    </row>
    <row r="2" spans="1:6" x14ac:dyDescent="0.3">
      <c r="A2" t="s">
        <v>357</v>
      </c>
      <c r="B2" t="s">
        <v>358</v>
      </c>
      <c r="C2" t="s">
        <v>12</v>
      </c>
      <c r="D2">
        <v>41</v>
      </c>
      <c r="E2">
        <v>842957</v>
      </c>
      <c r="F2" t="s">
        <v>359</v>
      </c>
    </row>
    <row r="3" spans="1:6" x14ac:dyDescent="0.3">
      <c r="A3" t="s">
        <v>360</v>
      </c>
      <c r="B3" t="s">
        <v>361</v>
      </c>
      <c r="C3" t="s">
        <v>24</v>
      </c>
      <c r="D3">
        <v>28</v>
      </c>
      <c r="E3">
        <v>159074</v>
      </c>
      <c r="F3" t="s">
        <v>362</v>
      </c>
    </row>
    <row r="4" spans="1:6" x14ac:dyDescent="0.3">
      <c r="A4" t="s">
        <v>363</v>
      </c>
      <c r="B4" t="s">
        <v>364</v>
      </c>
      <c r="C4" t="s">
        <v>12</v>
      </c>
      <c r="D4">
        <v>16</v>
      </c>
      <c r="E4">
        <v>568286</v>
      </c>
      <c r="F4" t="s">
        <v>362</v>
      </c>
    </row>
    <row r="5" spans="1:6" x14ac:dyDescent="0.3">
      <c r="A5" t="s">
        <v>365</v>
      </c>
      <c r="B5" t="s">
        <v>361</v>
      </c>
      <c r="C5" t="s">
        <v>31</v>
      </c>
      <c r="D5">
        <v>1</v>
      </c>
      <c r="E5">
        <v>978108</v>
      </c>
      <c r="F5" t="s">
        <v>359</v>
      </c>
    </row>
    <row r="6" spans="1:6" x14ac:dyDescent="0.3">
      <c r="A6" t="s">
        <v>366</v>
      </c>
      <c r="B6" t="s">
        <v>367</v>
      </c>
      <c r="C6" t="s">
        <v>24</v>
      </c>
      <c r="D6">
        <v>47</v>
      </c>
      <c r="E6">
        <v>904055</v>
      </c>
      <c r="F6" t="s">
        <v>359</v>
      </c>
    </row>
    <row r="7" spans="1:6" x14ac:dyDescent="0.3">
      <c r="A7" t="s">
        <v>368</v>
      </c>
      <c r="B7" t="s">
        <v>361</v>
      </c>
      <c r="C7" t="s">
        <v>31</v>
      </c>
      <c r="D7">
        <v>24</v>
      </c>
      <c r="E7">
        <v>285626</v>
      </c>
      <c r="F7" t="s">
        <v>362</v>
      </c>
    </row>
    <row r="8" spans="1:6" x14ac:dyDescent="0.3">
      <c r="A8" t="s">
        <v>369</v>
      </c>
      <c r="B8" t="s">
        <v>358</v>
      </c>
      <c r="C8" t="s">
        <v>12</v>
      </c>
      <c r="D8">
        <v>35</v>
      </c>
      <c r="E8">
        <v>865742</v>
      </c>
      <c r="F8" t="s">
        <v>362</v>
      </c>
    </row>
    <row r="9" spans="1:6" x14ac:dyDescent="0.3">
      <c r="A9" t="s">
        <v>370</v>
      </c>
      <c r="B9" t="s">
        <v>364</v>
      </c>
      <c r="C9" t="s">
        <v>31</v>
      </c>
      <c r="D9">
        <v>48</v>
      </c>
      <c r="E9">
        <v>257733</v>
      </c>
      <c r="F9" t="s">
        <v>359</v>
      </c>
    </row>
    <row r="10" spans="1:6" x14ac:dyDescent="0.3">
      <c r="A10" t="s">
        <v>371</v>
      </c>
      <c r="B10" t="s">
        <v>358</v>
      </c>
      <c r="C10" t="s">
        <v>31</v>
      </c>
      <c r="D10">
        <v>26</v>
      </c>
      <c r="E10">
        <v>992920</v>
      </c>
      <c r="F10" t="s">
        <v>362</v>
      </c>
    </row>
    <row r="11" spans="1:6" x14ac:dyDescent="0.3">
      <c r="A11" t="s">
        <v>372</v>
      </c>
      <c r="B11" t="s">
        <v>361</v>
      </c>
      <c r="C11" t="s">
        <v>31</v>
      </c>
      <c r="D11">
        <v>22</v>
      </c>
      <c r="E11">
        <v>84991</v>
      </c>
      <c r="F11" t="s">
        <v>359</v>
      </c>
    </row>
    <row r="12" spans="1:6" x14ac:dyDescent="0.3">
      <c r="A12" t="s">
        <v>373</v>
      </c>
      <c r="B12" t="s">
        <v>364</v>
      </c>
      <c r="C12" t="s">
        <v>17</v>
      </c>
      <c r="D12">
        <v>27</v>
      </c>
      <c r="E12">
        <v>443453</v>
      </c>
      <c r="F12" t="s">
        <v>362</v>
      </c>
    </row>
    <row r="13" spans="1:6" x14ac:dyDescent="0.3">
      <c r="A13" t="s">
        <v>374</v>
      </c>
      <c r="B13" t="s">
        <v>361</v>
      </c>
      <c r="C13" t="s">
        <v>17</v>
      </c>
      <c r="D13">
        <v>41</v>
      </c>
      <c r="E13">
        <v>859989</v>
      </c>
      <c r="F13" t="s">
        <v>359</v>
      </c>
    </row>
    <row r="14" spans="1:6" x14ac:dyDescent="0.3">
      <c r="A14" t="s">
        <v>375</v>
      </c>
      <c r="B14" t="s">
        <v>361</v>
      </c>
      <c r="C14" t="s">
        <v>17</v>
      </c>
      <c r="D14">
        <v>42</v>
      </c>
      <c r="E14">
        <v>805586</v>
      </c>
      <c r="F14" t="s">
        <v>362</v>
      </c>
    </row>
    <row r="15" spans="1:6" x14ac:dyDescent="0.3">
      <c r="A15" t="s">
        <v>376</v>
      </c>
      <c r="B15" t="s">
        <v>361</v>
      </c>
      <c r="C15" t="s">
        <v>24</v>
      </c>
      <c r="D15">
        <v>29</v>
      </c>
      <c r="E15">
        <v>639822</v>
      </c>
      <c r="F15" t="s">
        <v>359</v>
      </c>
    </row>
    <row r="16" spans="1:6" x14ac:dyDescent="0.3">
      <c r="A16" t="s">
        <v>377</v>
      </c>
      <c r="B16" t="s">
        <v>367</v>
      </c>
      <c r="C16" t="s">
        <v>17</v>
      </c>
      <c r="D16">
        <v>24</v>
      </c>
      <c r="E16">
        <v>645541</v>
      </c>
      <c r="F16" t="s">
        <v>359</v>
      </c>
    </row>
    <row r="17" spans="1:6" x14ac:dyDescent="0.3">
      <c r="A17" t="s">
        <v>378</v>
      </c>
      <c r="B17" t="s">
        <v>367</v>
      </c>
      <c r="C17" t="s">
        <v>12</v>
      </c>
      <c r="D17">
        <v>37</v>
      </c>
      <c r="E17">
        <v>965895</v>
      </c>
      <c r="F17" t="s">
        <v>362</v>
      </c>
    </row>
    <row r="18" spans="1:6" x14ac:dyDescent="0.3">
      <c r="A18" t="s">
        <v>379</v>
      </c>
      <c r="B18" t="s">
        <v>361</v>
      </c>
      <c r="C18" t="s">
        <v>12</v>
      </c>
      <c r="D18">
        <v>39</v>
      </c>
      <c r="E18">
        <v>502126</v>
      </c>
      <c r="F18" t="s">
        <v>359</v>
      </c>
    </row>
    <row r="19" spans="1:6" x14ac:dyDescent="0.3">
      <c r="A19" t="s">
        <v>380</v>
      </c>
      <c r="B19" t="s">
        <v>361</v>
      </c>
      <c r="C19" t="s">
        <v>17</v>
      </c>
      <c r="D19">
        <v>6</v>
      </c>
      <c r="E19">
        <v>568393</v>
      </c>
      <c r="F19" t="s">
        <v>362</v>
      </c>
    </row>
    <row r="20" spans="1:6" x14ac:dyDescent="0.3">
      <c r="A20" t="s">
        <v>381</v>
      </c>
      <c r="B20" t="s">
        <v>364</v>
      </c>
      <c r="C20" t="s">
        <v>17</v>
      </c>
      <c r="D20">
        <v>44</v>
      </c>
      <c r="E20">
        <v>51093</v>
      </c>
      <c r="F20" t="s">
        <v>359</v>
      </c>
    </row>
    <row r="21" spans="1:6" x14ac:dyDescent="0.3">
      <c r="A21" t="s">
        <v>382</v>
      </c>
      <c r="B21" t="s">
        <v>367</v>
      </c>
      <c r="C21" t="s">
        <v>24</v>
      </c>
      <c r="D21">
        <v>3</v>
      </c>
      <c r="E21">
        <v>671354</v>
      </c>
      <c r="F21" t="s">
        <v>362</v>
      </c>
    </row>
    <row r="22" spans="1:6" x14ac:dyDescent="0.3">
      <c r="A22" t="s">
        <v>383</v>
      </c>
      <c r="B22" t="s">
        <v>367</v>
      </c>
      <c r="C22" t="s">
        <v>12</v>
      </c>
      <c r="D22">
        <v>10</v>
      </c>
      <c r="E22">
        <v>823816</v>
      </c>
      <c r="F22" t="s">
        <v>362</v>
      </c>
    </row>
    <row r="23" spans="1:6" x14ac:dyDescent="0.3">
      <c r="A23" t="s">
        <v>384</v>
      </c>
      <c r="B23" t="s">
        <v>364</v>
      </c>
      <c r="C23" t="s">
        <v>17</v>
      </c>
      <c r="D23">
        <v>18</v>
      </c>
      <c r="E23">
        <v>117244</v>
      </c>
      <c r="F23" t="s">
        <v>359</v>
      </c>
    </row>
    <row r="24" spans="1:6" x14ac:dyDescent="0.3">
      <c r="A24" t="s">
        <v>385</v>
      </c>
      <c r="B24" t="s">
        <v>367</v>
      </c>
      <c r="C24" t="s">
        <v>12</v>
      </c>
      <c r="D24">
        <v>20</v>
      </c>
      <c r="E24">
        <v>358051</v>
      </c>
      <c r="F24" t="s">
        <v>362</v>
      </c>
    </row>
    <row r="25" spans="1:6" x14ac:dyDescent="0.3">
      <c r="A25" t="s">
        <v>386</v>
      </c>
      <c r="B25" t="s">
        <v>367</v>
      </c>
      <c r="C25" t="s">
        <v>17</v>
      </c>
      <c r="D25">
        <v>26</v>
      </c>
      <c r="E25">
        <v>122401</v>
      </c>
      <c r="F25" t="s">
        <v>362</v>
      </c>
    </row>
    <row r="26" spans="1:6" x14ac:dyDescent="0.3">
      <c r="A26" t="s">
        <v>387</v>
      </c>
      <c r="B26" t="s">
        <v>364</v>
      </c>
      <c r="C26" t="s">
        <v>12</v>
      </c>
      <c r="D26">
        <v>43</v>
      </c>
      <c r="E26">
        <v>75197</v>
      </c>
      <c r="F26" t="s">
        <v>359</v>
      </c>
    </row>
    <row r="27" spans="1:6" x14ac:dyDescent="0.3">
      <c r="A27" t="s">
        <v>388</v>
      </c>
      <c r="B27" t="s">
        <v>361</v>
      </c>
      <c r="C27" t="s">
        <v>17</v>
      </c>
      <c r="D27">
        <v>6</v>
      </c>
      <c r="E27">
        <v>286206</v>
      </c>
      <c r="F27" t="s">
        <v>362</v>
      </c>
    </row>
    <row r="28" spans="1:6" x14ac:dyDescent="0.3">
      <c r="A28" t="s">
        <v>389</v>
      </c>
      <c r="B28" t="s">
        <v>364</v>
      </c>
      <c r="C28" t="s">
        <v>24</v>
      </c>
      <c r="D28">
        <v>4</v>
      </c>
      <c r="E28">
        <v>204960</v>
      </c>
      <c r="F28" t="s">
        <v>359</v>
      </c>
    </row>
    <row r="29" spans="1:6" x14ac:dyDescent="0.3">
      <c r="A29" t="s">
        <v>390</v>
      </c>
      <c r="B29" t="s">
        <v>364</v>
      </c>
      <c r="C29" t="s">
        <v>31</v>
      </c>
      <c r="D29">
        <v>50</v>
      </c>
      <c r="E29">
        <v>74472</v>
      </c>
      <c r="F29" t="s">
        <v>359</v>
      </c>
    </row>
    <row r="30" spans="1:6" x14ac:dyDescent="0.3">
      <c r="A30" t="s">
        <v>391</v>
      </c>
      <c r="B30" t="s">
        <v>358</v>
      </c>
      <c r="C30" t="s">
        <v>24</v>
      </c>
      <c r="D30">
        <v>4</v>
      </c>
      <c r="E30">
        <v>468961</v>
      </c>
      <c r="F30" t="s">
        <v>362</v>
      </c>
    </row>
    <row r="31" spans="1:6" x14ac:dyDescent="0.3">
      <c r="A31" t="s">
        <v>392</v>
      </c>
      <c r="B31" t="s">
        <v>361</v>
      </c>
      <c r="C31" t="s">
        <v>31</v>
      </c>
      <c r="D31">
        <v>3</v>
      </c>
      <c r="E31">
        <v>554416</v>
      </c>
      <c r="F31" t="s">
        <v>362</v>
      </c>
    </row>
    <row r="32" spans="1:6" x14ac:dyDescent="0.3">
      <c r="A32" t="s">
        <v>393</v>
      </c>
      <c r="B32" t="s">
        <v>367</v>
      </c>
      <c r="C32" t="s">
        <v>12</v>
      </c>
      <c r="D32">
        <v>4</v>
      </c>
      <c r="E32">
        <v>439889</v>
      </c>
      <c r="F32" t="s">
        <v>359</v>
      </c>
    </row>
    <row r="33" spans="1:6" x14ac:dyDescent="0.3">
      <c r="A33" t="s">
        <v>394</v>
      </c>
      <c r="B33" t="s">
        <v>367</v>
      </c>
      <c r="C33" t="s">
        <v>31</v>
      </c>
      <c r="D33">
        <v>41</v>
      </c>
      <c r="E33">
        <v>397689</v>
      </c>
      <c r="F33" t="s">
        <v>359</v>
      </c>
    </row>
    <row r="34" spans="1:6" x14ac:dyDescent="0.3">
      <c r="A34" t="s">
        <v>395</v>
      </c>
      <c r="B34" t="s">
        <v>358</v>
      </c>
      <c r="C34" t="s">
        <v>24</v>
      </c>
      <c r="D34">
        <v>14</v>
      </c>
      <c r="E34">
        <v>341063</v>
      </c>
      <c r="F34" t="s">
        <v>362</v>
      </c>
    </row>
    <row r="35" spans="1:6" x14ac:dyDescent="0.3">
      <c r="A35" t="s">
        <v>396</v>
      </c>
      <c r="B35" t="s">
        <v>361</v>
      </c>
      <c r="C35" t="s">
        <v>24</v>
      </c>
      <c r="D35">
        <v>11</v>
      </c>
      <c r="E35">
        <v>837769</v>
      </c>
      <c r="F35" t="s">
        <v>359</v>
      </c>
    </row>
    <row r="36" spans="1:6" x14ac:dyDescent="0.3">
      <c r="A36" t="s">
        <v>397</v>
      </c>
      <c r="B36" t="s">
        <v>361</v>
      </c>
      <c r="C36" t="s">
        <v>12</v>
      </c>
      <c r="D36">
        <v>2</v>
      </c>
      <c r="E36">
        <v>760931</v>
      </c>
      <c r="F36" t="s">
        <v>359</v>
      </c>
    </row>
    <row r="37" spans="1:6" x14ac:dyDescent="0.3">
      <c r="A37" t="s">
        <v>398</v>
      </c>
      <c r="B37" t="s">
        <v>361</v>
      </c>
      <c r="C37" t="s">
        <v>24</v>
      </c>
      <c r="D37">
        <v>14</v>
      </c>
      <c r="E37">
        <v>293223</v>
      </c>
      <c r="F37" t="s">
        <v>362</v>
      </c>
    </row>
    <row r="38" spans="1:6" x14ac:dyDescent="0.3">
      <c r="A38" t="s">
        <v>399</v>
      </c>
      <c r="B38" t="s">
        <v>361</v>
      </c>
      <c r="C38" t="s">
        <v>12</v>
      </c>
      <c r="D38">
        <v>31</v>
      </c>
      <c r="E38">
        <v>823890</v>
      </c>
      <c r="F38" t="s">
        <v>359</v>
      </c>
    </row>
    <row r="39" spans="1:6" x14ac:dyDescent="0.3">
      <c r="A39" t="s">
        <v>400</v>
      </c>
      <c r="B39" t="s">
        <v>361</v>
      </c>
      <c r="C39" t="s">
        <v>17</v>
      </c>
      <c r="D39">
        <v>13</v>
      </c>
      <c r="E39">
        <v>503962</v>
      </c>
      <c r="F39" t="s">
        <v>359</v>
      </c>
    </row>
    <row r="40" spans="1:6" x14ac:dyDescent="0.3">
      <c r="A40" t="s">
        <v>401</v>
      </c>
      <c r="B40" t="s">
        <v>358</v>
      </c>
      <c r="C40" t="s">
        <v>17</v>
      </c>
      <c r="D40">
        <v>20</v>
      </c>
      <c r="E40">
        <v>54821</v>
      </c>
      <c r="F40" t="s">
        <v>362</v>
      </c>
    </row>
    <row r="41" spans="1:6" x14ac:dyDescent="0.3">
      <c r="A41" t="s">
        <v>402</v>
      </c>
      <c r="B41" t="s">
        <v>364</v>
      </c>
      <c r="C41" t="s">
        <v>17</v>
      </c>
      <c r="D41">
        <v>49</v>
      </c>
      <c r="E41">
        <v>828621</v>
      </c>
      <c r="F41" t="s">
        <v>359</v>
      </c>
    </row>
    <row r="42" spans="1:6" x14ac:dyDescent="0.3">
      <c r="A42" t="s">
        <v>403</v>
      </c>
      <c r="B42" t="s">
        <v>361</v>
      </c>
      <c r="C42" t="s">
        <v>24</v>
      </c>
      <c r="D42">
        <v>3</v>
      </c>
      <c r="E42">
        <v>75280</v>
      </c>
      <c r="F42" t="s">
        <v>362</v>
      </c>
    </row>
    <row r="43" spans="1:6" x14ac:dyDescent="0.3">
      <c r="A43" t="s">
        <v>404</v>
      </c>
      <c r="B43" t="s">
        <v>364</v>
      </c>
      <c r="C43" t="s">
        <v>17</v>
      </c>
      <c r="D43">
        <v>35</v>
      </c>
      <c r="E43">
        <v>363722</v>
      </c>
      <c r="F43" t="s">
        <v>359</v>
      </c>
    </row>
    <row r="44" spans="1:6" x14ac:dyDescent="0.3">
      <c r="A44" t="s">
        <v>405</v>
      </c>
      <c r="B44" t="s">
        <v>367</v>
      </c>
      <c r="C44" t="s">
        <v>31</v>
      </c>
      <c r="D44">
        <v>5</v>
      </c>
      <c r="E44">
        <v>561693</v>
      </c>
      <c r="F44" t="s">
        <v>359</v>
      </c>
    </row>
    <row r="45" spans="1:6" x14ac:dyDescent="0.3">
      <c r="A45" t="s">
        <v>406</v>
      </c>
      <c r="B45" t="s">
        <v>367</v>
      </c>
      <c r="C45" t="s">
        <v>24</v>
      </c>
      <c r="D45">
        <v>11</v>
      </c>
      <c r="E45">
        <v>358863</v>
      </c>
      <c r="F45" t="s">
        <v>362</v>
      </c>
    </row>
    <row r="46" spans="1:6" x14ac:dyDescent="0.3">
      <c r="A46" t="s">
        <v>407</v>
      </c>
      <c r="B46" t="s">
        <v>364</v>
      </c>
      <c r="C46" t="s">
        <v>12</v>
      </c>
      <c r="D46">
        <v>18</v>
      </c>
      <c r="E46">
        <v>818950</v>
      </c>
      <c r="F46" t="s">
        <v>362</v>
      </c>
    </row>
    <row r="47" spans="1:6" x14ac:dyDescent="0.3">
      <c r="A47" t="s">
        <v>408</v>
      </c>
      <c r="B47" t="s">
        <v>364</v>
      </c>
      <c r="C47" t="s">
        <v>31</v>
      </c>
      <c r="D47">
        <v>4</v>
      </c>
      <c r="E47">
        <v>204947</v>
      </c>
      <c r="F47" t="s">
        <v>362</v>
      </c>
    </row>
    <row r="48" spans="1:6" x14ac:dyDescent="0.3">
      <c r="A48" t="s">
        <v>409</v>
      </c>
      <c r="B48" t="s">
        <v>364</v>
      </c>
      <c r="C48" t="s">
        <v>24</v>
      </c>
      <c r="D48">
        <v>42</v>
      </c>
      <c r="E48">
        <v>83506</v>
      </c>
      <c r="F48" t="s">
        <v>359</v>
      </c>
    </row>
    <row r="49" spans="1:6" x14ac:dyDescent="0.3">
      <c r="A49" t="s">
        <v>410</v>
      </c>
      <c r="B49" t="s">
        <v>364</v>
      </c>
      <c r="C49" t="s">
        <v>12</v>
      </c>
      <c r="D49">
        <v>21</v>
      </c>
      <c r="E49">
        <v>905199</v>
      </c>
      <c r="F49" t="s">
        <v>359</v>
      </c>
    </row>
    <row r="50" spans="1:6" x14ac:dyDescent="0.3">
      <c r="A50" t="s">
        <v>411</v>
      </c>
      <c r="B50" t="s">
        <v>358</v>
      </c>
      <c r="C50" t="s">
        <v>17</v>
      </c>
      <c r="D50">
        <v>42</v>
      </c>
      <c r="E50">
        <v>225614</v>
      </c>
      <c r="F50" t="s">
        <v>359</v>
      </c>
    </row>
    <row r="51" spans="1:6" x14ac:dyDescent="0.3">
      <c r="A51" t="s">
        <v>412</v>
      </c>
      <c r="B51" t="s">
        <v>364</v>
      </c>
      <c r="C51" t="s">
        <v>24</v>
      </c>
      <c r="D51">
        <v>36</v>
      </c>
      <c r="E51">
        <v>575267</v>
      </c>
      <c r="F51" t="s">
        <v>362</v>
      </c>
    </row>
    <row r="52" spans="1:6" x14ac:dyDescent="0.3">
      <c r="A52" t="s">
        <v>413</v>
      </c>
      <c r="B52" t="s">
        <v>367</v>
      </c>
      <c r="C52" t="s">
        <v>17</v>
      </c>
      <c r="D52">
        <v>41</v>
      </c>
      <c r="E52">
        <v>216763</v>
      </c>
      <c r="F52" t="s">
        <v>362</v>
      </c>
    </row>
    <row r="53" spans="1:6" x14ac:dyDescent="0.3">
      <c r="A53" t="s">
        <v>414</v>
      </c>
      <c r="B53" t="s">
        <v>358</v>
      </c>
      <c r="C53" t="s">
        <v>17</v>
      </c>
      <c r="D53">
        <v>6</v>
      </c>
      <c r="E53">
        <v>783070</v>
      </c>
      <c r="F53" t="s">
        <v>359</v>
      </c>
    </row>
    <row r="54" spans="1:6" x14ac:dyDescent="0.3">
      <c r="A54" t="s">
        <v>415</v>
      </c>
      <c r="B54" t="s">
        <v>358</v>
      </c>
      <c r="C54" t="s">
        <v>31</v>
      </c>
      <c r="D54">
        <v>18</v>
      </c>
      <c r="E54">
        <v>281514</v>
      </c>
      <c r="F54" t="s">
        <v>359</v>
      </c>
    </row>
    <row r="55" spans="1:6" x14ac:dyDescent="0.3">
      <c r="A55" t="s">
        <v>416</v>
      </c>
      <c r="B55" t="s">
        <v>364</v>
      </c>
      <c r="C55" t="s">
        <v>12</v>
      </c>
      <c r="D55">
        <v>1</v>
      </c>
      <c r="E55">
        <v>903672</v>
      </c>
      <c r="F55" t="s">
        <v>359</v>
      </c>
    </row>
    <row r="56" spans="1:6" x14ac:dyDescent="0.3">
      <c r="A56" t="s">
        <v>417</v>
      </c>
      <c r="B56" t="s">
        <v>361</v>
      </c>
      <c r="C56" t="s">
        <v>31</v>
      </c>
      <c r="D56">
        <v>5</v>
      </c>
      <c r="E56">
        <v>371584</v>
      </c>
      <c r="F56" t="s">
        <v>362</v>
      </c>
    </row>
    <row r="57" spans="1:6" x14ac:dyDescent="0.3">
      <c r="A57" t="s">
        <v>418</v>
      </c>
      <c r="B57" t="s">
        <v>358</v>
      </c>
      <c r="C57" t="s">
        <v>31</v>
      </c>
      <c r="D57">
        <v>42</v>
      </c>
      <c r="E57">
        <v>781916</v>
      </c>
      <c r="F57" t="s">
        <v>359</v>
      </c>
    </row>
    <row r="58" spans="1:6" x14ac:dyDescent="0.3">
      <c r="A58" t="s">
        <v>419</v>
      </c>
      <c r="B58" t="s">
        <v>358</v>
      </c>
      <c r="C58" t="s">
        <v>24</v>
      </c>
      <c r="D58">
        <v>8</v>
      </c>
      <c r="E58">
        <v>552289</v>
      </c>
      <c r="F58" t="s">
        <v>362</v>
      </c>
    </row>
    <row r="59" spans="1:6" x14ac:dyDescent="0.3">
      <c r="A59" t="s">
        <v>420</v>
      </c>
      <c r="B59" t="s">
        <v>361</v>
      </c>
      <c r="C59" t="s">
        <v>31</v>
      </c>
      <c r="D59">
        <v>31</v>
      </c>
      <c r="E59">
        <v>245170</v>
      </c>
      <c r="F59" t="s">
        <v>359</v>
      </c>
    </row>
    <row r="60" spans="1:6" x14ac:dyDescent="0.3">
      <c r="A60" t="s">
        <v>421</v>
      </c>
      <c r="B60" t="s">
        <v>364</v>
      </c>
      <c r="C60" t="s">
        <v>24</v>
      </c>
      <c r="D60">
        <v>5</v>
      </c>
      <c r="E60">
        <v>818864</v>
      </c>
      <c r="F60" t="s">
        <v>362</v>
      </c>
    </row>
    <row r="61" spans="1:6" x14ac:dyDescent="0.3">
      <c r="A61" t="s">
        <v>422</v>
      </c>
      <c r="B61" t="s">
        <v>364</v>
      </c>
      <c r="C61" t="s">
        <v>31</v>
      </c>
      <c r="D61">
        <v>49</v>
      </c>
      <c r="E61">
        <v>615288</v>
      </c>
      <c r="F61" t="s">
        <v>362</v>
      </c>
    </row>
    <row r="62" spans="1:6" x14ac:dyDescent="0.3">
      <c r="A62" t="s">
        <v>423</v>
      </c>
      <c r="B62" t="s">
        <v>358</v>
      </c>
      <c r="C62" t="s">
        <v>31</v>
      </c>
      <c r="D62">
        <v>21</v>
      </c>
      <c r="E62">
        <v>816983</v>
      </c>
      <c r="F62" t="s">
        <v>359</v>
      </c>
    </row>
    <row r="63" spans="1:6" x14ac:dyDescent="0.3">
      <c r="A63" t="s">
        <v>424</v>
      </c>
      <c r="B63" t="s">
        <v>358</v>
      </c>
      <c r="C63" t="s">
        <v>31</v>
      </c>
      <c r="D63">
        <v>43</v>
      </c>
      <c r="E63">
        <v>913345</v>
      </c>
      <c r="F63" t="s">
        <v>362</v>
      </c>
    </row>
    <row r="64" spans="1:6" x14ac:dyDescent="0.3">
      <c r="A64" t="s">
        <v>425</v>
      </c>
      <c r="B64" t="s">
        <v>364</v>
      </c>
      <c r="C64" t="s">
        <v>12</v>
      </c>
      <c r="D64">
        <v>10</v>
      </c>
      <c r="E64">
        <v>506998</v>
      </c>
      <c r="F64" t="s">
        <v>362</v>
      </c>
    </row>
    <row r="65" spans="1:6" x14ac:dyDescent="0.3">
      <c r="A65" t="s">
        <v>426</v>
      </c>
      <c r="B65" t="s">
        <v>361</v>
      </c>
      <c r="C65" t="s">
        <v>24</v>
      </c>
      <c r="D65">
        <v>3</v>
      </c>
      <c r="E65">
        <v>787359</v>
      </c>
      <c r="F65" t="s">
        <v>359</v>
      </c>
    </row>
    <row r="66" spans="1:6" x14ac:dyDescent="0.3">
      <c r="A66" t="s">
        <v>427</v>
      </c>
      <c r="B66" t="s">
        <v>364</v>
      </c>
      <c r="C66" t="s">
        <v>17</v>
      </c>
      <c r="D66">
        <v>43</v>
      </c>
      <c r="E66">
        <v>805721</v>
      </c>
      <c r="F66" t="s">
        <v>359</v>
      </c>
    </row>
    <row r="67" spans="1:6" x14ac:dyDescent="0.3">
      <c r="A67" t="s">
        <v>428</v>
      </c>
      <c r="B67" t="s">
        <v>367</v>
      </c>
      <c r="C67" t="s">
        <v>12</v>
      </c>
      <c r="D67">
        <v>10</v>
      </c>
      <c r="E67">
        <v>537432</v>
      </c>
      <c r="F67" t="s">
        <v>359</v>
      </c>
    </row>
    <row r="68" spans="1:6" x14ac:dyDescent="0.3">
      <c r="A68" t="s">
        <v>429</v>
      </c>
      <c r="B68" t="s">
        <v>361</v>
      </c>
      <c r="C68" t="s">
        <v>31</v>
      </c>
      <c r="D68">
        <v>5</v>
      </c>
      <c r="E68">
        <v>789263</v>
      </c>
      <c r="F68" t="s">
        <v>362</v>
      </c>
    </row>
    <row r="69" spans="1:6" x14ac:dyDescent="0.3">
      <c r="A69" t="s">
        <v>430</v>
      </c>
      <c r="B69" t="s">
        <v>358</v>
      </c>
      <c r="C69" t="s">
        <v>31</v>
      </c>
      <c r="D69">
        <v>49</v>
      </c>
      <c r="E69">
        <v>202254</v>
      </c>
      <c r="F69" t="s">
        <v>359</v>
      </c>
    </row>
    <row r="70" spans="1:6" x14ac:dyDescent="0.3">
      <c r="A70" t="s">
        <v>431</v>
      </c>
      <c r="B70" t="s">
        <v>367</v>
      </c>
      <c r="C70" t="s">
        <v>31</v>
      </c>
      <c r="D70">
        <v>19</v>
      </c>
      <c r="E70">
        <v>344350</v>
      </c>
      <c r="F70" t="s">
        <v>362</v>
      </c>
    </row>
    <row r="71" spans="1:6" x14ac:dyDescent="0.3">
      <c r="A71" t="s">
        <v>432</v>
      </c>
      <c r="B71" t="s">
        <v>361</v>
      </c>
      <c r="C71" t="s">
        <v>17</v>
      </c>
      <c r="D71">
        <v>24</v>
      </c>
      <c r="E71">
        <v>140304</v>
      </c>
      <c r="F71" t="s">
        <v>359</v>
      </c>
    </row>
    <row r="72" spans="1:6" x14ac:dyDescent="0.3">
      <c r="A72" t="s">
        <v>433</v>
      </c>
      <c r="B72" t="s">
        <v>364</v>
      </c>
      <c r="C72" t="s">
        <v>31</v>
      </c>
      <c r="D72">
        <v>5</v>
      </c>
      <c r="E72">
        <v>854934</v>
      </c>
      <c r="F72" t="s">
        <v>362</v>
      </c>
    </row>
    <row r="73" spans="1:6" x14ac:dyDescent="0.3">
      <c r="A73" t="s">
        <v>434</v>
      </c>
      <c r="B73" t="s">
        <v>367</v>
      </c>
      <c r="C73" t="s">
        <v>17</v>
      </c>
      <c r="D73">
        <v>46</v>
      </c>
      <c r="E73">
        <v>642513</v>
      </c>
      <c r="F73" t="s">
        <v>362</v>
      </c>
    </row>
    <row r="74" spans="1:6" x14ac:dyDescent="0.3">
      <c r="A74" t="s">
        <v>435</v>
      </c>
      <c r="B74" t="s">
        <v>364</v>
      </c>
      <c r="C74" t="s">
        <v>17</v>
      </c>
      <c r="D74">
        <v>35</v>
      </c>
      <c r="E74">
        <v>477230</v>
      </c>
      <c r="F74" t="s">
        <v>362</v>
      </c>
    </row>
    <row r="75" spans="1:6" x14ac:dyDescent="0.3">
      <c r="A75" t="s">
        <v>436</v>
      </c>
      <c r="B75" t="s">
        <v>364</v>
      </c>
      <c r="C75" t="s">
        <v>24</v>
      </c>
      <c r="D75">
        <v>7</v>
      </c>
      <c r="E75">
        <v>406479</v>
      </c>
      <c r="F75" t="s">
        <v>362</v>
      </c>
    </row>
    <row r="76" spans="1:6" x14ac:dyDescent="0.3">
      <c r="A76" t="s">
        <v>437</v>
      </c>
      <c r="B76" t="s">
        <v>364</v>
      </c>
      <c r="C76" t="s">
        <v>24</v>
      </c>
      <c r="D76">
        <v>49</v>
      </c>
      <c r="E76">
        <v>708706</v>
      </c>
      <c r="F76" t="s">
        <v>362</v>
      </c>
    </row>
    <row r="77" spans="1:6" x14ac:dyDescent="0.3">
      <c r="A77" t="s">
        <v>438</v>
      </c>
      <c r="B77" t="s">
        <v>361</v>
      </c>
      <c r="C77" t="s">
        <v>24</v>
      </c>
      <c r="D77">
        <v>7</v>
      </c>
      <c r="E77">
        <v>905705</v>
      </c>
      <c r="F77" t="s">
        <v>359</v>
      </c>
    </row>
    <row r="78" spans="1:6" x14ac:dyDescent="0.3">
      <c r="A78" t="s">
        <v>439</v>
      </c>
      <c r="B78" t="s">
        <v>364</v>
      </c>
      <c r="C78" t="s">
        <v>12</v>
      </c>
      <c r="D78">
        <v>25</v>
      </c>
      <c r="E78">
        <v>794538</v>
      </c>
      <c r="F78" t="s">
        <v>362</v>
      </c>
    </row>
    <row r="79" spans="1:6" x14ac:dyDescent="0.3">
      <c r="A79" t="s">
        <v>440</v>
      </c>
      <c r="B79" t="s">
        <v>367</v>
      </c>
      <c r="C79" t="s">
        <v>24</v>
      </c>
      <c r="D79">
        <v>18</v>
      </c>
      <c r="E79">
        <v>324022</v>
      </c>
      <c r="F79" t="s">
        <v>362</v>
      </c>
    </row>
    <row r="80" spans="1:6" x14ac:dyDescent="0.3">
      <c r="A80" t="s">
        <v>441</v>
      </c>
      <c r="B80" t="s">
        <v>367</v>
      </c>
      <c r="C80" t="s">
        <v>12</v>
      </c>
      <c r="D80">
        <v>23</v>
      </c>
      <c r="E80">
        <v>598704</v>
      </c>
      <c r="F80" t="s">
        <v>362</v>
      </c>
    </row>
    <row r="81" spans="1:6" x14ac:dyDescent="0.3">
      <c r="A81" t="s">
        <v>442</v>
      </c>
      <c r="B81" t="s">
        <v>361</v>
      </c>
      <c r="C81" t="s">
        <v>17</v>
      </c>
      <c r="D81">
        <v>15</v>
      </c>
      <c r="E81">
        <v>140496</v>
      </c>
      <c r="F81" t="s">
        <v>359</v>
      </c>
    </row>
    <row r="82" spans="1:6" x14ac:dyDescent="0.3">
      <c r="A82" t="s">
        <v>443</v>
      </c>
      <c r="B82" t="s">
        <v>361</v>
      </c>
      <c r="C82" t="s">
        <v>24</v>
      </c>
      <c r="D82">
        <v>4</v>
      </c>
      <c r="E82">
        <v>456172</v>
      </c>
      <c r="F82" t="s">
        <v>362</v>
      </c>
    </row>
    <row r="83" spans="1:6" x14ac:dyDescent="0.3">
      <c r="A83" t="s">
        <v>444</v>
      </c>
      <c r="B83" t="s">
        <v>361</v>
      </c>
      <c r="C83" t="s">
        <v>24</v>
      </c>
      <c r="D83">
        <v>45</v>
      </c>
      <c r="E83">
        <v>817066</v>
      </c>
      <c r="F83" t="s">
        <v>359</v>
      </c>
    </row>
    <row r="84" spans="1:6" x14ac:dyDescent="0.3">
      <c r="A84" t="s">
        <v>445</v>
      </c>
      <c r="B84" t="s">
        <v>358</v>
      </c>
      <c r="C84" t="s">
        <v>31</v>
      </c>
      <c r="D84">
        <v>18</v>
      </c>
      <c r="E84">
        <v>594367</v>
      </c>
      <c r="F84" t="s">
        <v>359</v>
      </c>
    </row>
    <row r="85" spans="1:6" x14ac:dyDescent="0.3">
      <c r="A85" t="s">
        <v>446</v>
      </c>
      <c r="B85" t="s">
        <v>358</v>
      </c>
      <c r="C85" t="s">
        <v>12</v>
      </c>
      <c r="D85">
        <v>34</v>
      </c>
      <c r="E85">
        <v>512209</v>
      </c>
      <c r="F85" t="s">
        <v>362</v>
      </c>
    </row>
    <row r="86" spans="1:6" x14ac:dyDescent="0.3">
      <c r="A86" t="s">
        <v>447</v>
      </c>
      <c r="B86" t="s">
        <v>361</v>
      </c>
      <c r="C86" t="s">
        <v>17</v>
      </c>
      <c r="D86">
        <v>14</v>
      </c>
      <c r="E86">
        <v>698718</v>
      </c>
      <c r="F86" t="s">
        <v>359</v>
      </c>
    </row>
    <row r="87" spans="1:6" x14ac:dyDescent="0.3">
      <c r="A87" t="s">
        <v>448</v>
      </c>
      <c r="B87" t="s">
        <v>361</v>
      </c>
      <c r="C87" t="s">
        <v>31</v>
      </c>
      <c r="D87">
        <v>25</v>
      </c>
      <c r="E87">
        <v>339920</v>
      </c>
      <c r="F87" t="s">
        <v>362</v>
      </c>
    </row>
    <row r="88" spans="1:6" x14ac:dyDescent="0.3">
      <c r="A88" t="s">
        <v>449</v>
      </c>
      <c r="B88" t="s">
        <v>364</v>
      </c>
      <c r="C88" t="s">
        <v>31</v>
      </c>
      <c r="D88">
        <v>35</v>
      </c>
      <c r="E88">
        <v>756725</v>
      </c>
      <c r="F88" t="s">
        <v>362</v>
      </c>
    </row>
    <row r="89" spans="1:6" x14ac:dyDescent="0.3">
      <c r="A89" t="s">
        <v>450</v>
      </c>
      <c r="B89" t="s">
        <v>358</v>
      </c>
      <c r="C89" t="s">
        <v>17</v>
      </c>
      <c r="D89">
        <v>41</v>
      </c>
      <c r="E89">
        <v>270746</v>
      </c>
      <c r="F89" t="s">
        <v>359</v>
      </c>
    </row>
    <row r="90" spans="1:6" x14ac:dyDescent="0.3">
      <c r="A90" t="s">
        <v>451</v>
      </c>
      <c r="B90" t="s">
        <v>364</v>
      </c>
      <c r="C90" t="s">
        <v>12</v>
      </c>
      <c r="D90">
        <v>33</v>
      </c>
      <c r="E90">
        <v>193402</v>
      </c>
      <c r="F90" t="s">
        <v>362</v>
      </c>
    </row>
    <row r="91" spans="1:6" x14ac:dyDescent="0.3">
      <c r="A91" t="s">
        <v>452</v>
      </c>
      <c r="B91" t="s">
        <v>364</v>
      </c>
      <c r="C91" t="s">
        <v>17</v>
      </c>
      <c r="D91">
        <v>34</v>
      </c>
      <c r="E91">
        <v>206513</v>
      </c>
      <c r="F91" t="s">
        <v>362</v>
      </c>
    </row>
    <row r="92" spans="1:6" x14ac:dyDescent="0.3">
      <c r="A92" t="s">
        <v>453</v>
      </c>
      <c r="B92" t="s">
        <v>367</v>
      </c>
      <c r="C92" t="s">
        <v>12</v>
      </c>
      <c r="D92">
        <v>13</v>
      </c>
      <c r="E92">
        <v>566719</v>
      </c>
      <c r="F92" t="s">
        <v>362</v>
      </c>
    </row>
    <row r="93" spans="1:6" x14ac:dyDescent="0.3">
      <c r="A93" t="s">
        <v>454</v>
      </c>
      <c r="B93" t="s">
        <v>364</v>
      </c>
      <c r="C93" t="s">
        <v>17</v>
      </c>
      <c r="D93">
        <v>3</v>
      </c>
      <c r="E93">
        <v>556501</v>
      </c>
      <c r="F93" t="s">
        <v>362</v>
      </c>
    </row>
    <row r="94" spans="1:6" x14ac:dyDescent="0.3">
      <c r="A94" t="s">
        <v>455</v>
      </c>
      <c r="B94" t="s">
        <v>358</v>
      </c>
      <c r="C94" t="s">
        <v>17</v>
      </c>
      <c r="D94">
        <v>38</v>
      </c>
      <c r="E94">
        <v>991421</v>
      </c>
      <c r="F94" t="s">
        <v>362</v>
      </c>
    </row>
    <row r="95" spans="1:6" x14ac:dyDescent="0.3">
      <c r="A95" t="s">
        <v>456</v>
      </c>
      <c r="B95" t="s">
        <v>367</v>
      </c>
      <c r="C95" t="s">
        <v>12</v>
      </c>
      <c r="D95">
        <v>38</v>
      </c>
      <c r="E95">
        <v>756983</v>
      </c>
      <c r="F95" t="s">
        <v>362</v>
      </c>
    </row>
    <row r="96" spans="1:6" x14ac:dyDescent="0.3">
      <c r="A96" t="s">
        <v>457</v>
      </c>
      <c r="B96" t="s">
        <v>367</v>
      </c>
      <c r="C96" t="s">
        <v>24</v>
      </c>
      <c r="D96">
        <v>13</v>
      </c>
      <c r="E96">
        <v>727659</v>
      </c>
      <c r="F96" t="s">
        <v>362</v>
      </c>
    </row>
    <row r="97" spans="1:6" x14ac:dyDescent="0.3">
      <c r="A97" t="s">
        <v>458</v>
      </c>
      <c r="B97" t="s">
        <v>364</v>
      </c>
      <c r="C97" t="s">
        <v>12</v>
      </c>
      <c r="D97">
        <v>35</v>
      </c>
      <c r="E97">
        <v>168017</v>
      </c>
      <c r="F97" t="s">
        <v>359</v>
      </c>
    </row>
    <row r="98" spans="1:6" x14ac:dyDescent="0.3">
      <c r="A98" t="s">
        <v>459</v>
      </c>
      <c r="B98" t="s">
        <v>358</v>
      </c>
      <c r="C98" t="s">
        <v>17</v>
      </c>
      <c r="D98">
        <v>21</v>
      </c>
      <c r="E98">
        <v>567373</v>
      </c>
      <c r="F98" t="s">
        <v>362</v>
      </c>
    </row>
    <row r="99" spans="1:6" x14ac:dyDescent="0.3">
      <c r="A99" t="s">
        <v>460</v>
      </c>
      <c r="B99" t="s">
        <v>367</v>
      </c>
      <c r="C99" t="s">
        <v>24</v>
      </c>
      <c r="D99">
        <v>8</v>
      </c>
      <c r="E99">
        <v>138710</v>
      </c>
      <c r="F99" t="s">
        <v>359</v>
      </c>
    </row>
    <row r="100" spans="1:6" x14ac:dyDescent="0.3">
      <c r="A100" t="s">
        <v>461</v>
      </c>
      <c r="B100" t="s">
        <v>358</v>
      </c>
      <c r="C100" t="s">
        <v>31</v>
      </c>
      <c r="D100">
        <v>15</v>
      </c>
      <c r="E100">
        <v>496710</v>
      </c>
      <c r="F100" t="s">
        <v>362</v>
      </c>
    </row>
    <row r="101" spans="1:6" x14ac:dyDescent="0.3">
      <c r="A101" t="s">
        <v>462</v>
      </c>
      <c r="B101" t="s">
        <v>364</v>
      </c>
      <c r="C101" t="s">
        <v>31</v>
      </c>
      <c r="D101">
        <v>46</v>
      </c>
      <c r="E101">
        <v>790001</v>
      </c>
      <c r="F101" t="s">
        <v>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Customer DB</vt:lpstr>
      <vt:lpstr>Product DB</vt:lpstr>
      <vt:lpstr>APS'S</vt:lpstr>
      <vt:lpstr>Customer API'S</vt:lpstr>
      <vt:lpstr>Product APS'S</vt:lpstr>
      <vt:lpstr>Raw_Sales_Data</vt:lpstr>
      <vt:lpstr>Production_Data</vt:lpstr>
      <vt:lpstr>Customer_Data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Ritam Sanfui</cp:lastModifiedBy>
  <cp:lastPrinted>2026-05-23T14:25:52Z</cp:lastPrinted>
  <dcterms:created xsi:type="dcterms:W3CDTF">2026-05-23T04:35:58Z</dcterms:created>
  <dcterms:modified xsi:type="dcterms:W3CDTF">2026-05-24T06:06:12Z</dcterms:modified>
</cp:coreProperties>
</file>